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_xlnm._FilterDatabase" localSheetId="0" hidden="1">Sheet1!$A$1:$T$1</definedName>
    <definedName name="_xlnm._FilterDatabase" localSheetId="1" hidden="1">Sheet2!$A$1:$N$1</definedName>
    <definedName name="切片器_类别">#N/A</definedName>
    <definedName name="切片器_类别1">#N/A</definedName>
  </definedNames>
  <calcPr calcId="145621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F12" i="2" l="1"/>
  <c r="F13" i="2"/>
  <c r="F1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3" i="2"/>
  <c r="F4" i="2"/>
  <c r="F5" i="2"/>
  <c r="F6" i="2"/>
  <c r="F7" i="2"/>
  <c r="F8" i="2"/>
  <c r="F9" i="2"/>
  <c r="F10" i="2"/>
  <c r="F11" i="2"/>
  <c r="F15" i="2"/>
  <c r="F16" i="2"/>
  <c r="F17" i="2"/>
  <c r="F18" i="2"/>
  <c r="F19" i="2"/>
  <c r="F20" i="2"/>
  <c r="F21" i="2"/>
  <c r="F22" i="2"/>
  <c r="F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3" i="2"/>
  <c r="V8" i="1"/>
  <c r="V7" i="1"/>
  <c r="U8" i="1"/>
  <c r="T8" i="1"/>
  <c r="S8" i="1"/>
  <c r="R8" i="1"/>
  <c r="V2" i="1" l="1"/>
  <c r="C12" i="1"/>
  <c r="B12" i="1"/>
  <c r="A12" i="1"/>
  <c r="G10" i="1"/>
  <c r="F10" i="1"/>
  <c r="E10" i="1"/>
  <c r="D10" i="1"/>
  <c r="O2" i="1"/>
  <c r="N2" i="1"/>
  <c r="M2" i="1"/>
  <c r="I2" i="1"/>
  <c r="U7" i="1"/>
  <c r="T7" i="1"/>
  <c r="S7" i="1"/>
  <c r="R7" i="1"/>
  <c r="W8" i="1"/>
  <c r="W7" i="1"/>
  <c r="B10" i="1"/>
  <c r="A10" i="1"/>
  <c r="F8" i="1"/>
  <c r="E8" i="1"/>
  <c r="D8" i="1"/>
  <c r="C8" i="1"/>
  <c r="B8" i="1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P2" i="1"/>
  <c r="U2" i="1"/>
  <c r="T2" i="1"/>
  <c r="S2" i="1"/>
  <c r="R2" i="1"/>
  <c r="Q2" i="1"/>
  <c r="L2" i="1"/>
  <c r="J2" i="1"/>
  <c r="K2" i="1"/>
  <c r="O2" i="2"/>
  <c r="J7" i="1" l="1"/>
  <c r="I7" i="1" s="1"/>
  <c r="E42" i="1" s="1"/>
  <c r="Q8" i="1"/>
  <c r="N8" i="1"/>
  <c r="M7" i="1"/>
  <c r="J8" i="1"/>
  <c r="I8" i="1" s="1"/>
  <c r="M8" i="1"/>
  <c r="K7" i="1"/>
  <c r="N7" i="1"/>
  <c r="K8" i="1"/>
  <c r="L7" i="1"/>
  <c r="Q7" i="1"/>
  <c r="L8" i="1"/>
  <c r="P8" i="1" s="1"/>
  <c r="E143" i="1" l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09" i="1"/>
  <c r="F109" i="1" s="1"/>
  <c r="E107" i="1"/>
  <c r="F107" i="1" s="1"/>
  <c r="E105" i="1"/>
  <c r="F105" i="1" s="1"/>
  <c r="E103" i="1"/>
  <c r="F103" i="1" s="1"/>
  <c r="E101" i="1"/>
  <c r="F101" i="1" s="1"/>
  <c r="E99" i="1"/>
  <c r="F99" i="1" s="1"/>
  <c r="E97" i="1"/>
  <c r="F97" i="1" s="1"/>
  <c r="E95" i="1"/>
  <c r="F95" i="1" s="1"/>
  <c r="E74" i="1"/>
  <c r="F74" i="1" s="1"/>
  <c r="E71" i="1"/>
  <c r="F71" i="1" s="1"/>
  <c r="E69" i="1"/>
  <c r="F69" i="1" s="1"/>
  <c r="E68" i="1"/>
  <c r="F68" i="1" s="1"/>
  <c r="E66" i="1"/>
  <c r="F66" i="1" s="1"/>
  <c r="E64" i="1"/>
  <c r="F64" i="1" s="1"/>
  <c r="E62" i="1"/>
  <c r="F62" i="1" s="1"/>
  <c r="E60" i="1"/>
  <c r="F60" i="1" s="1"/>
  <c r="E108" i="1"/>
  <c r="F108" i="1" s="1"/>
  <c r="E106" i="1"/>
  <c r="F106" i="1" s="1"/>
  <c r="E104" i="1"/>
  <c r="F104" i="1" s="1"/>
  <c r="E102" i="1"/>
  <c r="F102" i="1" s="1"/>
  <c r="E100" i="1"/>
  <c r="F100" i="1" s="1"/>
  <c r="E98" i="1"/>
  <c r="F98" i="1" s="1"/>
  <c r="E96" i="1"/>
  <c r="F96" i="1" s="1"/>
  <c r="E94" i="1"/>
  <c r="F94" i="1" s="1"/>
  <c r="E75" i="1"/>
  <c r="F75" i="1" s="1"/>
  <c r="E73" i="1"/>
  <c r="F73" i="1" s="1"/>
  <c r="E72" i="1"/>
  <c r="F72" i="1" s="1"/>
  <c r="E70" i="1"/>
  <c r="F70" i="1" s="1"/>
  <c r="E67" i="1"/>
  <c r="F67" i="1" s="1"/>
  <c r="E65" i="1"/>
  <c r="F65" i="1" s="1"/>
  <c r="E63" i="1"/>
  <c r="F63" i="1" s="1"/>
  <c r="E61" i="1"/>
  <c r="F61" i="1" s="1"/>
  <c r="E127" i="1"/>
  <c r="F127" i="1" s="1"/>
  <c r="E93" i="1"/>
  <c r="F93" i="1" s="1"/>
  <c r="E59" i="1"/>
  <c r="F59" i="1" s="1"/>
  <c r="E76" i="1"/>
  <c r="F76" i="1" s="1"/>
  <c r="F42" i="1"/>
  <c r="E110" i="1"/>
  <c r="F110" i="1" s="1"/>
  <c r="C59" i="1"/>
  <c r="D59" i="1" s="1"/>
  <c r="C110" i="1"/>
  <c r="D110" i="1" s="1"/>
  <c r="C42" i="1"/>
  <c r="D42" i="1" s="1"/>
  <c r="C76" i="1"/>
  <c r="D76" i="1" s="1"/>
  <c r="C93" i="1"/>
  <c r="D93" i="1" s="1"/>
  <c r="C127" i="1"/>
  <c r="D127" i="1" s="1"/>
  <c r="O8" i="1"/>
  <c r="P7" i="1"/>
  <c r="O7" i="1"/>
  <c r="E126" i="1" l="1"/>
  <c r="F126" i="1" s="1"/>
  <c r="E125" i="1"/>
  <c r="F125" i="1" s="1"/>
  <c r="E123" i="1"/>
  <c r="F123" i="1" s="1"/>
  <c r="E121" i="1"/>
  <c r="F121" i="1" s="1"/>
  <c r="E119" i="1"/>
  <c r="F119" i="1" s="1"/>
  <c r="E118" i="1"/>
  <c r="F118" i="1" s="1"/>
  <c r="E116" i="1"/>
  <c r="F116" i="1" s="1"/>
  <c r="E114" i="1"/>
  <c r="F114" i="1" s="1"/>
  <c r="E112" i="1"/>
  <c r="F112" i="1" s="1"/>
  <c r="E91" i="1"/>
  <c r="F91" i="1" s="1"/>
  <c r="E89" i="1"/>
  <c r="F89" i="1" s="1"/>
  <c r="E86" i="1"/>
  <c r="F86" i="1" s="1"/>
  <c r="E84" i="1"/>
  <c r="F84" i="1" s="1"/>
  <c r="E82" i="1"/>
  <c r="F82" i="1" s="1"/>
  <c r="E80" i="1"/>
  <c r="F80" i="1" s="1"/>
  <c r="E78" i="1"/>
  <c r="F78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124" i="1"/>
  <c r="F124" i="1" s="1"/>
  <c r="E122" i="1"/>
  <c r="F122" i="1" s="1"/>
  <c r="E120" i="1"/>
  <c r="F120" i="1" s="1"/>
  <c r="E117" i="1"/>
  <c r="F117" i="1" s="1"/>
  <c r="E115" i="1"/>
  <c r="F115" i="1" s="1"/>
  <c r="E113" i="1"/>
  <c r="F113" i="1" s="1"/>
  <c r="E111" i="1"/>
  <c r="F111" i="1" s="1"/>
  <c r="E92" i="1"/>
  <c r="F92" i="1" s="1"/>
  <c r="E90" i="1"/>
  <c r="F90" i="1" s="1"/>
  <c r="E88" i="1"/>
  <c r="F88" i="1" s="1"/>
  <c r="E87" i="1"/>
  <c r="F87" i="1" s="1"/>
  <c r="E85" i="1"/>
  <c r="F85" i="1" s="1"/>
  <c r="E83" i="1"/>
  <c r="F83" i="1" s="1"/>
  <c r="E81" i="1"/>
  <c r="F81" i="1" s="1"/>
  <c r="E79" i="1"/>
  <c r="F79" i="1" s="1"/>
  <c r="E77" i="1"/>
  <c r="F77" i="1" s="1"/>
  <c r="C71" i="1"/>
  <c r="D71" i="1" s="1"/>
  <c r="C65" i="1"/>
  <c r="D65" i="1" s="1"/>
  <c r="C137" i="1"/>
  <c r="D137" i="1" s="1"/>
  <c r="C99" i="1"/>
  <c r="D99" i="1" s="1"/>
  <c r="C138" i="1"/>
  <c r="D138" i="1" s="1"/>
  <c r="C104" i="1"/>
  <c r="D104" i="1" s="1"/>
  <c r="C96" i="1"/>
  <c r="D96" i="1" s="1"/>
  <c r="C95" i="1"/>
  <c r="D95" i="1" s="1"/>
  <c r="C70" i="1"/>
  <c r="D70" i="1" s="1"/>
  <c r="C64" i="1"/>
  <c r="D64" i="1" s="1"/>
  <c r="C135" i="1"/>
  <c r="D135" i="1" s="1"/>
  <c r="C109" i="1"/>
  <c r="D109" i="1" s="1"/>
  <c r="C136" i="1"/>
  <c r="D136" i="1" s="1"/>
  <c r="C102" i="1"/>
  <c r="D102" i="1" s="1"/>
  <c r="C72" i="1"/>
  <c r="D72" i="1" s="1"/>
  <c r="C66" i="1"/>
  <c r="D66" i="1" s="1"/>
  <c r="C139" i="1"/>
  <c r="D139" i="1" s="1"/>
  <c r="C101" i="1"/>
  <c r="D101" i="1" s="1"/>
  <c r="C128" i="1"/>
  <c r="D128" i="1" s="1"/>
  <c r="C106" i="1"/>
  <c r="D106" i="1" s="1"/>
  <c r="C75" i="1"/>
  <c r="D75" i="1" s="1"/>
  <c r="C69" i="1"/>
  <c r="D69" i="1" s="1"/>
  <c r="C63" i="1"/>
  <c r="D63" i="1" s="1"/>
  <c r="C134" i="1"/>
  <c r="D134" i="1" s="1"/>
  <c r="C107" i="1"/>
  <c r="D107" i="1" s="1"/>
  <c r="C133" i="1"/>
  <c r="D133" i="1" s="1"/>
  <c r="C100" i="1"/>
  <c r="D100" i="1" s="1"/>
  <c r="C103" i="1"/>
  <c r="D103" i="1" s="1"/>
  <c r="C142" i="1"/>
  <c r="D142" i="1" s="1"/>
  <c r="C97" i="1"/>
  <c r="D97" i="1" s="1"/>
  <c r="C74" i="1"/>
  <c r="D74" i="1" s="1"/>
  <c r="C68" i="1"/>
  <c r="D68" i="1" s="1"/>
  <c r="C62" i="1"/>
  <c r="D62" i="1" s="1"/>
  <c r="C143" i="1"/>
  <c r="D143" i="1" s="1"/>
  <c r="C132" i="1"/>
  <c r="D132" i="1" s="1"/>
  <c r="C105" i="1"/>
  <c r="D105" i="1" s="1"/>
  <c r="C131" i="1"/>
  <c r="D131" i="1" s="1"/>
  <c r="C98" i="1"/>
  <c r="D98" i="1" s="1"/>
  <c r="C94" i="1"/>
  <c r="D94" i="1" s="1"/>
  <c r="C73" i="1"/>
  <c r="D73" i="1" s="1"/>
  <c r="C67" i="1"/>
  <c r="D67" i="1" s="1"/>
  <c r="C61" i="1"/>
  <c r="D61" i="1" s="1"/>
  <c r="C141" i="1"/>
  <c r="D141" i="1" s="1"/>
  <c r="C129" i="1"/>
  <c r="D129" i="1" s="1"/>
  <c r="C130" i="1"/>
  <c r="D130" i="1" s="1"/>
  <c r="C108" i="1"/>
  <c r="D108" i="1" s="1"/>
  <c r="C60" i="1"/>
  <c r="D60" i="1" s="1"/>
  <c r="C140" i="1"/>
  <c r="D140" i="1" s="1"/>
  <c r="C118" i="1"/>
  <c r="D118" i="1" s="1"/>
  <c r="C57" i="1"/>
  <c r="D57" i="1" s="1"/>
  <c r="C51" i="1"/>
  <c r="D51" i="1" s="1"/>
  <c r="C45" i="1"/>
  <c r="D45" i="1" s="1"/>
  <c r="C115" i="1"/>
  <c r="D115" i="1" s="1"/>
  <c r="C79" i="1"/>
  <c r="D79" i="1" s="1"/>
  <c r="C78" i="1"/>
  <c r="D78" i="1" s="1"/>
  <c r="C77" i="1"/>
  <c r="D77" i="1" s="1"/>
  <c r="C116" i="1"/>
  <c r="D116" i="1" s="1"/>
  <c r="C56" i="1"/>
  <c r="D56" i="1" s="1"/>
  <c r="C50" i="1"/>
  <c r="D50" i="1" s="1"/>
  <c r="C44" i="1"/>
  <c r="D44" i="1" s="1"/>
  <c r="C125" i="1"/>
  <c r="D125" i="1" s="1"/>
  <c r="C113" i="1"/>
  <c r="D113" i="1" s="1"/>
  <c r="C87" i="1"/>
  <c r="D87" i="1" s="1"/>
  <c r="C52" i="1"/>
  <c r="D52" i="1" s="1"/>
  <c r="C117" i="1"/>
  <c r="D117" i="1" s="1"/>
  <c r="C88" i="1"/>
  <c r="D88" i="1" s="1"/>
  <c r="C89" i="1"/>
  <c r="D89" i="1" s="1"/>
  <c r="C126" i="1"/>
  <c r="D126" i="1" s="1"/>
  <c r="C114" i="1"/>
  <c r="D114" i="1" s="1"/>
  <c r="C55" i="1"/>
  <c r="D55" i="1" s="1"/>
  <c r="C49" i="1"/>
  <c r="D49" i="1" s="1"/>
  <c r="C43" i="1"/>
  <c r="D43" i="1" s="1"/>
  <c r="C123" i="1"/>
  <c r="D123" i="1" s="1"/>
  <c r="C111" i="1"/>
  <c r="D111" i="1" s="1"/>
  <c r="C81" i="1"/>
  <c r="D81" i="1" s="1"/>
  <c r="C122" i="1"/>
  <c r="D122" i="1" s="1"/>
  <c r="C53" i="1"/>
  <c r="D53" i="1" s="1"/>
  <c r="C91" i="1"/>
  <c r="D91" i="1" s="1"/>
  <c r="C80" i="1"/>
  <c r="D80" i="1" s="1"/>
  <c r="C124" i="1"/>
  <c r="D124" i="1" s="1"/>
  <c r="C112" i="1"/>
  <c r="D112" i="1" s="1"/>
  <c r="C54" i="1"/>
  <c r="D54" i="1" s="1"/>
  <c r="C48" i="1"/>
  <c r="D48" i="1" s="1"/>
  <c r="C121" i="1"/>
  <c r="D121" i="1" s="1"/>
  <c r="C83" i="1"/>
  <c r="D83" i="1" s="1"/>
  <c r="C92" i="1"/>
  <c r="D92" i="1" s="1"/>
  <c r="C90" i="1"/>
  <c r="D90" i="1" s="1"/>
  <c r="C82" i="1"/>
  <c r="D82" i="1" s="1"/>
  <c r="C47" i="1"/>
  <c r="D47" i="1" s="1"/>
  <c r="C119" i="1"/>
  <c r="D119" i="1" s="1"/>
  <c r="C86" i="1"/>
  <c r="D86" i="1" s="1"/>
  <c r="C120" i="1"/>
  <c r="D120" i="1" s="1"/>
  <c r="C58" i="1"/>
  <c r="D58" i="1" s="1"/>
  <c r="C46" i="1"/>
  <c r="D46" i="1" s="1"/>
  <c r="C84" i="1"/>
  <c r="D84" i="1" s="1"/>
  <c r="C85" i="1"/>
  <c r="D85" i="1" s="1"/>
</calcChain>
</file>

<file path=xl/sharedStrings.xml><?xml version="1.0" encoding="utf-8"?>
<sst xmlns="http://schemas.openxmlformats.org/spreadsheetml/2006/main" count="432" uniqueCount="157">
  <si>
    <t>等级</t>
  </si>
  <si>
    <t>伤害</t>
  </si>
  <si>
    <t>气血</t>
  </si>
  <si>
    <t>灵力</t>
  </si>
  <si>
    <t>速度</t>
  </si>
  <si>
    <t>防御</t>
  </si>
  <si>
    <t>法防</t>
  </si>
  <si>
    <t>法伤</t>
  </si>
  <si>
    <t>魔法</t>
  </si>
  <si>
    <t>体质</t>
  </si>
  <si>
    <t>魔力</t>
  </si>
  <si>
    <t>力量</t>
  </si>
  <si>
    <t>耐力</t>
  </si>
  <si>
    <t>敏捷</t>
  </si>
  <si>
    <t>怪物等级</t>
    <phoneticPr fontId="1" type="noConversion"/>
  </si>
  <si>
    <t>修炼</t>
    <phoneticPr fontId="1" type="noConversion"/>
  </si>
  <si>
    <t>无修炼</t>
    <phoneticPr fontId="1" type="noConversion"/>
  </si>
  <si>
    <t>血量加成</t>
  </si>
  <si>
    <t>伤害加成</t>
  </si>
  <si>
    <t>法伤加成</t>
  </si>
  <si>
    <t>速度加成</t>
  </si>
  <si>
    <t>防御加成</t>
  </si>
  <si>
    <t>法防加成</t>
  </si>
  <si>
    <t>人物等级</t>
    <phoneticPr fontId="1" type="noConversion"/>
  </si>
  <si>
    <t>人物等级</t>
    <phoneticPr fontId="1" type="noConversion"/>
  </si>
  <si>
    <t>装备最小伤害</t>
    <phoneticPr fontId="1" type="noConversion"/>
  </si>
  <si>
    <t>最大命中</t>
    <phoneticPr fontId="1" type="noConversion"/>
  </si>
  <si>
    <t>最小命中</t>
    <phoneticPr fontId="1" type="noConversion"/>
  </si>
  <si>
    <t>最小伤害</t>
    <phoneticPr fontId="1" type="noConversion"/>
  </si>
  <si>
    <t>最大伤害</t>
    <phoneticPr fontId="1" type="noConversion"/>
  </si>
  <si>
    <t>最小防御</t>
    <phoneticPr fontId="1" type="noConversion"/>
  </si>
  <si>
    <t>最大防御</t>
    <phoneticPr fontId="1" type="noConversion"/>
  </si>
  <si>
    <t>最小魔法</t>
    <phoneticPr fontId="1" type="noConversion"/>
  </si>
  <si>
    <t>最大魔法</t>
    <phoneticPr fontId="1" type="noConversion"/>
  </si>
  <si>
    <t>最小灵力</t>
    <phoneticPr fontId="1" type="noConversion"/>
  </si>
  <si>
    <t>最大灵力</t>
    <phoneticPr fontId="1" type="noConversion"/>
  </si>
  <si>
    <t>最大防御</t>
    <phoneticPr fontId="1" type="noConversion"/>
  </si>
  <si>
    <t>最小气血</t>
    <phoneticPr fontId="1" type="noConversion"/>
  </si>
  <si>
    <t>最大气血</t>
    <phoneticPr fontId="1" type="noConversion"/>
  </si>
  <si>
    <t>最小敏捷</t>
    <phoneticPr fontId="1" type="noConversion"/>
  </si>
  <si>
    <t>最大敏捷</t>
    <phoneticPr fontId="1" type="noConversion"/>
  </si>
  <si>
    <t>装备最小命中</t>
    <phoneticPr fontId="1" type="noConversion"/>
  </si>
  <si>
    <t>装备最大命中</t>
    <phoneticPr fontId="1" type="noConversion"/>
  </si>
  <si>
    <t>装备最大伤害</t>
    <phoneticPr fontId="1" type="noConversion"/>
  </si>
  <si>
    <t>装备最小防御</t>
    <phoneticPr fontId="1" type="noConversion"/>
  </si>
  <si>
    <t>装备最大防御</t>
    <phoneticPr fontId="1" type="noConversion"/>
  </si>
  <si>
    <t>装备最小灵力</t>
    <phoneticPr fontId="1" type="noConversion"/>
  </si>
  <si>
    <t>装备最大灵力</t>
    <phoneticPr fontId="1" type="noConversion"/>
  </si>
  <si>
    <t>装备最小气血</t>
    <phoneticPr fontId="1" type="noConversion"/>
  </si>
  <si>
    <t>装备最大气血</t>
    <phoneticPr fontId="1" type="noConversion"/>
  </si>
  <si>
    <t>装备最小敏捷</t>
    <phoneticPr fontId="1" type="noConversion"/>
  </si>
  <si>
    <t>装备最大敏捷</t>
    <phoneticPr fontId="1" type="noConversion"/>
  </si>
  <si>
    <t>最大魔法</t>
    <phoneticPr fontId="1" type="noConversion"/>
  </si>
  <si>
    <t>强身</t>
    <phoneticPr fontId="1" type="noConversion"/>
  </si>
  <si>
    <t>冥想</t>
    <phoneticPr fontId="1" type="noConversion"/>
  </si>
  <si>
    <t>命中</t>
  </si>
  <si>
    <t>命中</t>
    <phoneticPr fontId="1" type="noConversion"/>
  </si>
  <si>
    <t>人</t>
  </si>
  <si>
    <t>人</t>
    <phoneticPr fontId="1" type="noConversion"/>
  </si>
  <si>
    <t>法力</t>
  </si>
  <si>
    <t>种族</t>
    <phoneticPr fontId="1" type="noConversion"/>
  </si>
  <si>
    <t>仙</t>
    <phoneticPr fontId="1" type="noConversion"/>
  </si>
  <si>
    <t>魔</t>
    <phoneticPr fontId="1" type="noConversion"/>
  </si>
  <si>
    <t>命中系数</t>
    <phoneticPr fontId="1" type="noConversion"/>
  </si>
  <si>
    <t>伤害系数</t>
    <phoneticPr fontId="1" type="noConversion"/>
  </si>
  <si>
    <t>防御系数</t>
    <phoneticPr fontId="1" type="noConversion"/>
  </si>
  <si>
    <t>气血系数</t>
    <phoneticPr fontId="1" type="noConversion"/>
  </si>
  <si>
    <t>法力系数</t>
    <phoneticPr fontId="1" type="noConversion"/>
  </si>
  <si>
    <t>附加命中</t>
    <phoneticPr fontId="1" type="noConversion"/>
  </si>
  <si>
    <t>附加伤害</t>
    <phoneticPr fontId="1" type="noConversion"/>
  </si>
  <si>
    <t>修</t>
    <phoneticPr fontId="1" type="noConversion"/>
  </si>
  <si>
    <t>修炼加成</t>
    <phoneticPr fontId="1" type="noConversion"/>
  </si>
  <si>
    <t>加点方式</t>
    <phoneticPr fontId="1" type="noConversion"/>
  </si>
  <si>
    <t>全力</t>
    <phoneticPr fontId="1" type="noConversion"/>
  </si>
  <si>
    <t>血力</t>
    <phoneticPr fontId="1" type="noConversion"/>
  </si>
  <si>
    <t>力耐</t>
    <phoneticPr fontId="1" type="noConversion"/>
  </si>
  <si>
    <t>全魔</t>
    <phoneticPr fontId="1" type="noConversion"/>
  </si>
  <si>
    <t>血魔</t>
    <phoneticPr fontId="1" type="noConversion"/>
  </si>
  <si>
    <t>魔耐</t>
    <phoneticPr fontId="1" type="noConversion"/>
  </si>
  <si>
    <t>血耐</t>
    <phoneticPr fontId="1" type="noConversion"/>
  </si>
  <si>
    <t>耐血</t>
    <phoneticPr fontId="1" type="noConversion"/>
  </si>
  <si>
    <t>全敏</t>
    <phoneticPr fontId="1" type="noConversion"/>
  </si>
  <si>
    <t>血敏</t>
    <phoneticPr fontId="1" type="noConversion"/>
  </si>
  <si>
    <t>耐敏</t>
    <phoneticPr fontId="1" type="noConversion"/>
  </si>
  <si>
    <t>敏耐</t>
    <phoneticPr fontId="1" type="noConversion"/>
  </si>
  <si>
    <t>敏血</t>
    <phoneticPr fontId="1" type="noConversion"/>
  </si>
  <si>
    <t>耐魔</t>
    <phoneticPr fontId="1" type="noConversion"/>
  </si>
  <si>
    <t>魔血</t>
    <phoneticPr fontId="1" type="noConversion"/>
  </si>
  <si>
    <t>力血</t>
    <phoneticPr fontId="1" type="noConversion"/>
  </si>
  <si>
    <t>耐力</t>
    <phoneticPr fontId="1" type="noConversion"/>
  </si>
  <si>
    <t>有修装备小</t>
    <phoneticPr fontId="1" type="noConversion"/>
  </si>
  <si>
    <t>有修装备大</t>
    <phoneticPr fontId="1" type="noConversion"/>
  </si>
  <si>
    <t>门派</t>
    <phoneticPr fontId="1" type="noConversion"/>
  </si>
  <si>
    <t>大唐官府</t>
  </si>
  <si>
    <t>化生寺</t>
  </si>
  <si>
    <t>方寸山</t>
  </si>
  <si>
    <t>女儿村</t>
  </si>
  <si>
    <t>神木林</t>
  </si>
  <si>
    <t>盘丝洞</t>
  </si>
  <si>
    <t>魔王寨</t>
  </si>
  <si>
    <t>狮驼岭</t>
  </si>
  <si>
    <t>阴曹地府</t>
  </si>
  <si>
    <t>无底洞</t>
  </si>
  <si>
    <t>天宫</t>
  </si>
  <si>
    <t>普陀山</t>
  </si>
  <si>
    <t>凌波城</t>
  </si>
  <si>
    <t>五庄观</t>
  </si>
  <si>
    <t>龙宫</t>
  </si>
  <si>
    <t>灵力</t>
    <phoneticPr fontId="1" type="noConversion"/>
  </si>
  <si>
    <t>伤害</t>
    <phoneticPr fontId="1" type="noConversion"/>
  </si>
  <si>
    <t>防御</t>
    <phoneticPr fontId="1" type="noConversion"/>
  </si>
  <si>
    <t>速度</t>
    <phoneticPr fontId="1" type="noConversion"/>
  </si>
  <si>
    <t>气血</t>
    <phoneticPr fontId="1" type="noConversion"/>
  </si>
  <si>
    <t>魔法</t>
    <phoneticPr fontId="1" type="noConversion"/>
  </si>
  <si>
    <t>物理输出</t>
    <phoneticPr fontId="1" type="noConversion"/>
  </si>
  <si>
    <t>单法伤害</t>
    <phoneticPr fontId="1" type="noConversion"/>
  </si>
  <si>
    <t>物理输出</t>
  </si>
  <si>
    <t>单法伤害</t>
  </si>
  <si>
    <t>行标签</t>
  </si>
  <si>
    <t>总计</t>
  </si>
  <si>
    <t>类别</t>
  </si>
  <si>
    <t>类别</t>
    <phoneticPr fontId="1" type="noConversion"/>
  </si>
  <si>
    <t>龙卷秒1</t>
  </si>
  <si>
    <t>龙卷秒1</t>
    <phoneticPr fontId="1" type="noConversion"/>
  </si>
  <si>
    <t>龙卷秒2</t>
  </si>
  <si>
    <t>龙卷秒3</t>
  </si>
  <si>
    <t>龙卷秒4</t>
  </si>
  <si>
    <t>龙卷秒5</t>
  </si>
  <si>
    <t>龙卷秒6</t>
  </si>
  <si>
    <t>龙卷秒7</t>
  </si>
  <si>
    <t>龙卷秒8</t>
  </si>
  <si>
    <t>龙卷秒9</t>
  </si>
  <si>
    <t>龙卷秒10</t>
  </si>
  <si>
    <t>飞砂秒1</t>
  </si>
  <si>
    <t>飞砂秒1</t>
    <phoneticPr fontId="1" type="noConversion"/>
  </si>
  <si>
    <t>飞砂秒2</t>
  </si>
  <si>
    <t>飞砂秒3</t>
  </si>
  <si>
    <t>飞砂秒4</t>
  </si>
  <si>
    <t>飞砂秒5</t>
  </si>
  <si>
    <t>分类</t>
    <phoneticPr fontId="1" type="noConversion"/>
  </si>
  <si>
    <t>怪物输出</t>
    <phoneticPr fontId="1" type="noConversion"/>
  </si>
  <si>
    <t>怪物暴击</t>
    <phoneticPr fontId="1" type="noConversion"/>
  </si>
  <si>
    <t>满修-最小</t>
    <phoneticPr fontId="1" type="noConversion"/>
  </si>
  <si>
    <t>满修-最大</t>
  </si>
  <si>
    <t>满修-最大</t>
    <phoneticPr fontId="1" type="noConversion"/>
  </si>
  <si>
    <t>半修-最小</t>
    <phoneticPr fontId="1" type="noConversion"/>
  </si>
  <si>
    <t>半修-最大</t>
    <phoneticPr fontId="1" type="noConversion"/>
  </si>
  <si>
    <t>没修-最小</t>
    <phoneticPr fontId="1" type="noConversion"/>
  </si>
  <si>
    <t>没修-最大</t>
    <phoneticPr fontId="1" type="noConversion"/>
  </si>
  <si>
    <t>角色输出</t>
    <phoneticPr fontId="1" type="noConversion"/>
  </si>
  <si>
    <t>角色暴击</t>
    <phoneticPr fontId="1" type="noConversion"/>
  </si>
  <si>
    <t>求和项:怪物输出</t>
  </si>
  <si>
    <t>求和项:角色输出</t>
  </si>
  <si>
    <t>求和项:怪物暴击</t>
  </si>
  <si>
    <t>求和项:角色暴击</t>
  </si>
  <si>
    <t>没修-最小</t>
  </si>
  <si>
    <t>全魔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</si>
</sst>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Fill="1"/>
    <xf numFmtId="0" fontId="0" fillId="3" borderId="1" xfId="0" applyFill="1" applyBorder="1"/>
    <xf numFmtId="0" fontId="0" fillId="2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3" xfId="0" applyFill="1" applyBorder="1"/>
    <xf numFmtId="0" fontId="0" fillId="0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Fill="1" applyBorder="1"/>
    <xf numFmtId="0" fontId="0" fillId="4" borderId="2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14</xdr:row>
      <xdr:rowOff>38100</xdr:rowOff>
    </xdr:from>
    <xdr:to>
      <xdr:col>5</xdr:col>
      <xdr:colOff>438150</xdr:colOff>
      <xdr:row>28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类别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类别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2438400"/>
              <a:ext cx="16764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此形状表示切片器。切片器至少可在 Excel 2010 中使用。
如果在较早版本的 Excel 中修改了此形状，或此工作簿是在 Excel 2003 或更早版本中保存的，则不能使用切片器。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123825</xdr:colOff>
      <xdr:row>13</xdr:row>
      <xdr:rowOff>104775</xdr:rowOff>
    </xdr:from>
    <xdr:to>
      <xdr:col>11</xdr:col>
      <xdr:colOff>581025</xdr:colOff>
      <xdr:row>27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类别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类别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9225" y="23336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此形状表示切片器。切片器至少可在 Excel 2010 中使用。
如果在较早版本的 Excel 中修改了此形状，或此工作簿是在 Excel 2003 或更早版本中保存的，则不能使用切片器。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524.781212499998" createdVersion="4" refreshedVersion="4" minRefreshableVersion="3" recordCount="102">
  <cacheSource type="worksheet">
    <worksheetSource ref="A41:F143" sheet="Sheet1"/>
  </cacheSource>
  <cacheFields count="6">
    <cacheField name="类别" numFmtId="0">
      <sharedItems count="6">
        <s v="满修-最小"/>
        <s v="满修-最大"/>
        <s v="半修-最小"/>
        <s v="半修-最大"/>
        <s v="没修-最小"/>
        <s v="没修-最大"/>
      </sharedItems>
    </cacheField>
    <cacheField name="分类" numFmtId="0">
      <sharedItems count="17">
        <s v="物理输出"/>
        <s v="单法伤害"/>
        <s v="飞砂秒1"/>
        <s v="飞砂秒2"/>
        <s v="飞砂秒3"/>
        <s v="飞砂秒4"/>
        <s v="飞砂秒5"/>
        <s v="龙卷秒1"/>
        <s v="龙卷秒2"/>
        <s v="龙卷秒3"/>
        <s v="龙卷秒4"/>
        <s v="龙卷秒5"/>
        <s v="龙卷秒6"/>
        <s v="龙卷秒7"/>
        <s v="龙卷秒8"/>
        <s v="龙卷秒9"/>
        <s v="龙卷秒10"/>
      </sharedItems>
    </cacheField>
    <cacheField name="怪物输出" numFmtId="0">
      <sharedItems containsSemiMixedTypes="0" containsString="0" containsNumber="1" containsInteger="1" minValue="949" maxValue="3969"/>
    </cacheField>
    <cacheField name="怪物暴击" numFmtId="0">
      <sharedItems containsSemiMixedTypes="0" containsString="0" containsNumber="1" containsInteger="1" minValue="3985" maxValue="8190"/>
    </cacheField>
    <cacheField name="角色输出" numFmtId="0">
      <sharedItems containsSemiMixedTypes="0" containsString="0" containsNumber="1" containsInteger="1" minValue="558" maxValue="2303"/>
    </cacheField>
    <cacheField name="角色暴击" numFmtId="0">
      <sharedItems containsSemiMixedTypes="0" containsString="0" containsNumber="1" containsInteger="1" minValue="1170" maxValue="4891"/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x v="0"/>
    <n v="2663"/>
    <n v="5326"/>
    <n v="585"/>
    <n v="1170"/>
  </r>
  <r>
    <x v="0"/>
    <x v="1"/>
    <n v="2529"/>
    <n v="5058"/>
    <n v="1481"/>
    <n v="2962"/>
  </r>
  <r>
    <x v="0"/>
    <x v="2"/>
    <n v="2199"/>
    <n v="4178"/>
    <n v="1256"/>
    <n v="2386"/>
  </r>
  <r>
    <x v="0"/>
    <x v="3"/>
    <n v="1955"/>
    <n v="5083"/>
    <n v="1116"/>
    <n v="2901"/>
  </r>
  <r>
    <x v="0"/>
    <x v="4"/>
    <n v="1710"/>
    <n v="5301"/>
    <n v="977"/>
    <n v="3028"/>
  </r>
  <r>
    <x v="0"/>
    <x v="5"/>
    <n v="1466"/>
    <n v="4984"/>
    <n v="837"/>
    <n v="2845"/>
  </r>
  <r>
    <x v="0"/>
    <x v="6"/>
    <n v="1466"/>
    <n v="5131"/>
    <n v="837"/>
    <n v="2929"/>
  </r>
  <r>
    <x v="0"/>
    <x v="7"/>
    <n v="2199"/>
    <n v="4178"/>
    <n v="1256"/>
    <n v="2386"/>
  </r>
  <r>
    <x v="0"/>
    <x v="8"/>
    <n v="1955"/>
    <n v="5083"/>
    <n v="1116"/>
    <n v="2901"/>
  </r>
  <r>
    <x v="0"/>
    <x v="9"/>
    <n v="1710"/>
    <n v="5301"/>
    <n v="977"/>
    <n v="3028"/>
  </r>
  <r>
    <x v="0"/>
    <x v="10"/>
    <n v="1466"/>
    <n v="4984"/>
    <n v="837"/>
    <n v="2845"/>
  </r>
  <r>
    <x v="0"/>
    <x v="11"/>
    <n v="1222"/>
    <n v="4277"/>
    <n v="698"/>
    <n v="2443"/>
  </r>
  <r>
    <x v="0"/>
    <x v="12"/>
    <n v="1222"/>
    <n v="4888"/>
    <n v="698"/>
    <n v="2792"/>
  </r>
  <r>
    <x v="0"/>
    <x v="13"/>
    <n v="1222"/>
    <n v="5499"/>
    <n v="698"/>
    <n v="3141"/>
  </r>
  <r>
    <x v="0"/>
    <x v="14"/>
    <n v="977"/>
    <n v="4103"/>
    <n v="558"/>
    <n v="2343"/>
  </r>
  <r>
    <x v="0"/>
    <x v="15"/>
    <n v="977"/>
    <n v="4494"/>
    <n v="558"/>
    <n v="2566"/>
  </r>
  <r>
    <x v="0"/>
    <x v="16"/>
    <n v="977"/>
    <n v="4885"/>
    <n v="558"/>
    <n v="2790"/>
  </r>
  <r>
    <x v="1"/>
    <x v="0"/>
    <n v="2479"/>
    <n v="4958"/>
    <n v="831"/>
    <n v="1662"/>
  </r>
  <r>
    <x v="1"/>
    <x v="1"/>
    <n v="2458"/>
    <n v="4916"/>
    <n v="1552"/>
    <n v="3104"/>
  </r>
  <r>
    <x v="1"/>
    <x v="2"/>
    <n v="2135"/>
    <n v="4056"/>
    <n v="1320"/>
    <n v="2508"/>
  </r>
  <r>
    <x v="1"/>
    <x v="3"/>
    <n v="1898"/>
    <n v="4934"/>
    <n v="1173"/>
    <n v="3049"/>
  </r>
  <r>
    <x v="1"/>
    <x v="4"/>
    <n v="1661"/>
    <n v="5149"/>
    <n v="1026"/>
    <n v="3180"/>
  </r>
  <r>
    <x v="1"/>
    <x v="5"/>
    <n v="1423"/>
    <n v="4838"/>
    <n v="880"/>
    <n v="2992"/>
  </r>
  <r>
    <x v="1"/>
    <x v="6"/>
    <n v="1423"/>
    <n v="4980"/>
    <n v="880"/>
    <n v="3080"/>
  </r>
  <r>
    <x v="1"/>
    <x v="7"/>
    <n v="2135"/>
    <n v="4056"/>
    <n v="1320"/>
    <n v="2508"/>
  </r>
  <r>
    <x v="1"/>
    <x v="8"/>
    <n v="1898"/>
    <n v="4934"/>
    <n v="1173"/>
    <n v="3049"/>
  </r>
  <r>
    <x v="1"/>
    <x v="9"/>
    <n v="1661"/>
    <n v="5149"/>
    <n v="1026"/>
    <n v="3180"/>
  </r>
  <r>
    <x v="1"/>
    <x v="10"/>
    <n v="1423"/>
    <n v="4838"/>
    <n v="880"/>
    <n v="2992"/>
  </r>
  <r>
    <x v="1"/>
    <x v="11"/>
    <n v="1186"/>
    <n v="4151"/>
    <n v="733"/>
    <n v="2565"/>
  </r>
  <r>
    <x v="1"/>
    <x v="12"/>
    <n v="1186"/>
    <n v="4744"/>
    <n v="733"/>
    <n v="2932"/>
  </r>
  <r>
    <x v="1"/>
    <x v="13"/>
    <n v="1186"/>
    <n v="5337"/>
    <n v="733"/>
    <n v="3298"/>
  </r>
  <r>
    <x v="1"/>
    <x v="14"/>
    <n v="949"/>
    <n v="3985"/>
    <n v="586"/>
    <n v="2461"/>
  </r>
  <r>
    <x v="1"/>
    <x v="15"/>
    <n v="949"/>
    <n v="4365"/>
    <n v="586"/>
    <n v="2695"/>
  </r>
  <r>
    <x v="1"/>
    <x v="16"/>
    <n v="949"/>
    <n v="4745"/>
    <n v="586"/>
    <n v="2930"/>
  </r>
  <r>
    <x v="2"/>
    <x v="0"/>
    <n v="3316"/>
    <n v="6632"/>
    <n v="718"/>
    <n v="1436"/>
  </r>
  <r>
    <x v="2"/>
    <x v="1"/>
    <n v="3148"/>
    <n v="6296"/>
    <n v="1838"/>
    <n v="3676"/>
  </r>
  <r>
    <x v="2"/>
    <x v="2"/>
    <n v="2738"/>
    <n v="5202"/>
    <n v="1559"/>
    <n v="2962"/>
  </r>
  <r>
    <x v="2"/>
    <x v="3"/>
    <n v="2434"/>
    <n v="6328"/>
    <n v="1386"/>
    <n v="3603"/>
  </r>
  <r>
    <x v="2"/>
    <x v="4"/>
    <n v="2129"/>
    <n v="6599"/>
    <n v="1212"/>
    <n v="3757"/>
  </r>
  <r>
    <x v="2"/>
    <x v="5"/>
    <n v="1825"/>
    <n v="6205"/>
    <n v="1039"/>
    <n v="3532"/>
  </r>
  <r>
    <x v="2"/>
    <x v="6"/>
    <n v="1825"/>
    <n v="6387"/>
    <n v="1039"/>
    <n v="3636"/>
  </r>
  <r>
    <x v="2"/>
    <x v="7"/>
    <n v="2738"/>
    <n v="5202"/>
    <n v="1559"/>
    <n v="2962"/>
  </r>
  <r>
    <x v="2"/>
    <x v="8"/>
    <n v="2434"/>
    <n v="6328"/>
    <n v="1386"/>
    <n v="3603"/>
  </r>
  <r>
    <x v="2"/>
    <x v="9"/>
    <n v="2129"/>
    <n v="6599"/>
    <n v="1212"/>
    <n v="3757"/>
  </r>
  <r>
    <x v="2"/>
    <x v="10"/>
    <n v="1825"/>
    <n v="6205"/>
    <n v="1039"/>
    <n v="3532"/>
  </r>
  <r>
    <x v="2"/>
    <x v="11"/>
    <n v="1521"/>
    <n v="5323"/>
    <n v="866"/>
    <n v="3031"/>
  </r>
  <r>
    <x v="2"/>
    <x v="12"/>
    <n v="1521"/>
    <n v="6084"/>
    <n v="866"/>
    <n v="3464"/>
  </r>
  <r>
    <x v="2"/>
    <x v="13"/>
    <n v="1521"/>
    <n v="6844"/>
    <n v="866"/>
    <n v="3897"/>
  </r>
  <r>
    <x v="2"/>
    <x v="14"/>
    <n v="1217"/>
    <n v="5111"/>
    <n v="693"/>
    <n v="2910"/>
  </r>
  <r>
    <x v="2"/>
    <x v="15"/>
    <n v="1217"/>
    <n v="5598"/>
    <n v="693"/>
    <n v="3187"/>
  </r>
  <r>
    <x v="2"/>
    <x v="16"/>
    <n v="1217"/>
    <n v="6085"/>
    <n v="693"/>
    <n v="3465"/>
  </r>
  <r>
    <x v="3"/>
    <x v="0"/>
    <n v="3086"/>
    <n v="6172"/>
    <n v="1026"/>
    <n v="2052"/>
  </r>
  <r>
    <x v="3"/>
    <x v="1"/>
    <n v="3060"/>
    <n v="6120"/>
    <n v="1927"/>
    <n v="3854"/>
  </r>
  <r>
    <x v="3"/>
    <x v="2"/>
    <n v="2658"/>
    <n v="5050"/>
    <n v="1639"/>
    <n v="3114"/>
  </r>
  <r>
    <x v="3"/>
    <x v="3"/>
    <n v="2363"/>
    <n v="6143"/>
    <n v="1457"/>
    <n v="3788"/>
  </r>
  <r>
    <x v="3"/>
    <x v="4"/>
    <n v="2067"/>
    <n v="6407"/>
    <n v="1274"/>
    <n v="3949"/>
  </r>
  <r>
    <x v="3"/>
    <x v="5"/>
    <n v="1772"/>
    <n v="6024"/>
    <n v="1092"/>
    <n v="3712"/>
  </r>
  <r>
    <x v="3"/>
    <x v="6"/>
    <n v="1772"/>
    <n v="6202"/>
    <n v="1092"/>
    <n v="3822"/>
  </r>
  <r>
    <x v="3"/>
    <x v="7"/>
    <n v="2658"/>
    <n v="5050"/>
    <n v="1639"/>
    <n v="3114"/>
  </r>
  <r>
    <x v="3"/>
    <x v="8"/>
    <n v="2363"/>
    <n v="6143"/>
    <n v="1457"/>
    <n v="3788"/>
  </r>
  <r>
    <x v="3"/>
    <x v="9"/>
    <n v="2067"/>
    <n v="6407"/>
    <n v="1274"/>
    <n v="3949"/>
  </r>
  <r>
    <x v="3"/>
    <x v="10"/>
    <n v="1772"/>
    <n v="6024"/>
    <n v="1092"/>
    <n v="3712"/>
  </r>
  <r>
    <x v="3"/>
    <x v="11"/>
    <n v="1476"/>
    <n v="5166"/>
    <n v="910"/>
    <n v="3185"/>
  </r>
  <r>
    <x v="3"/>
    <x v="12"/>
    <n v="1476"/>
    <n v="5904"/>
    <n v="910"/>
    <n v="3640"/>
  </r>
  <r>
    <x v="3"/>
    <x v="13"/>
    <n v="1476"/>
    <n v="6642"/>
    <n v="910"/>
    <n v="4095"/>
  </r>
  <r>
    <x v="3"/>
    <x v="14"/>
    <n v="1181"/>
    <n v="4960"/>
    <n v="728"/>
    <n v="3057"/>
  </r>
  <r>
    <x v="3"/>
    <x v="15"/>
    <n v="1181"/>
    <n v="5432"/>
    <n v="728"/>
    <n v="3348"/>
  </r>
  <r>
    <x v="3"/>
    <x v="16"/>
    <n v="1181"/>
    <n v="5905"/>
    <n v="728"/>
    <n v="3640"/>
  </r>
  <r>
    <x v="4"/>
    <x v="0"/>
    <n v="3969"/>
    <n v="7938"/>
    <n v="852"/>
    <n v="1704"/>
  </r>
  <r>
    <x v="4"/>
    <x v="1"/>
    <n v="3768"/>
    <n v="7536"/>
    <n v="2196"/>
    <n v="4392"/>
  </r>
  <r>
    <x v="4"/>
    <x v="2"/>
    <n v="3276"/>
    <n v="6224"/>
    <n v="1862"/>
    <n v="3537"/>
  </r>
  <r>
    <x v="4"/>
    <x v="3"/>
    <n v="2912"/>
    <n v="7571"/>
    <n v="1655"/>
    <n v="4303"/>
  </r>
  <r>
    <x v="4"/>
    <x v="4"/>
    <n v="2548"/>
    <n v="7898"/>
    <n v="1448"/>
    <n v="4488"/>
  </r>
  <r>
    <x v="4"/>
    <x v="5"/>
    <n v="2184"/>
    <n v="7425"/>
    <n v="837"/>
    <n v="2845"/>
  </r>
  <r>
    <x v="4"/>
    <x v="6"/>
    <n v="2184"/>
    <n v="7644"/>
    <n v="1241"/>
    <n v="4343"/>
  </r>
  <r>
    <x v="4"/>
    <x v="7"/>
    <n v="3276"/>
    <n v="6224"/>
    <n v="1862"/>
    <n v="3537"/>
  </r>
  <r>
    <x v="4"/>
    <x v="8"/>
    <n v="2912"/>
    <n v="7571"/>
    <n v="1655"/>
    <n v="4303"/>
  </r>
  <r>
    <x v="4"/>
    <x v="9"/>
    <n v="2548"/>
    <n v="7898"/>
    <n v="977"/>
    <n v="3028"/>
  </r>
  <r>
    <x v="4"/>
    <x v="10"/>
    <n v="2184"/>
    <n v="7425"/>
    <n v="1241"/>
    <n v="4219"/>
  </r>
  <r>
    <x v="4"/>
    <x v="11"/>
    <n v="1820"/>
    <n v="6370"/>
    <n v="1034"/>
    <n v="3619"/>
  </r>
  <r>
    <x v="4"/>
    <x v="12"/>
    <n v="1820"/>
    <n v="7280"/>
    <n v="1034"/>
    <n v="4136"/>
  </r>
  <r>
    <x v="4"/>
    <x v="13"/>
    <n v="1820"/>
    <n v="8190"/>
    <n v="1034"/>
    <n v="4653"/>
  </r>
  <r>
    <x v="4"/>
    <x v="14"/>
    <n v="1456"/>
    <n v="6115"/>
    <n v="827"/>
    <n v="3473"/>
  </r>
  <r>
    <x v="4"/>
    <x v="15"/>
    <n v="1456"/>
    <n v="6697"/>
    <n v="827"/>
    <n v="3804"/>
  </r>
  <r>
    <x v="4"/>
    <x v="16"/>
    <n v="1456"/>
    <n v="7280"/>
    <n v="827"/>
    <n v="4135"/>
  </r>
  <r>
    <x v="5"/>
    <x v="0"/>
    <n v="3693"/>
    <n v="7386"/>
    <n v="1221"/>
    <n v="2442"/>
  </r>
  <r>
    <x v="5"/>
    <x v="1"/>
    <n v="3662"/>
    <n v="7324"/>
    <n v="2303"/>
    <n v="4606"/>
  </r>
  <r>
    <x v="5"/>
    <x v="2"/>
    <n v="3181"/>
    <n v="6043"/>
    <n v="1957"/>
    <n v="3718"/>
  </r>
  <r>
    <x v="5"/>
    <x v="3"/>
    <n v="2827"/>
    <n v="7350"/>
    <n v="1740"/>
    <n v="4524"/>
  </r>
  <r>
    <x v="5"/>
    <x v="4"/>
    <n v="2474"/>
    <n v="7669"/>
    <n v="1522"/>
    <n v="4718"/>
  </r>
  <r>
    <x v="5"/>
    <x v="5"/>
    <n v="2120"/>
    <n v="7208"/>
    <n v="1305"/>
    <n v="4437"/>
  </r>
  <r>
    <x v="5"/>
    <x v="6"/>
    <n v="2120"/>
    <n v="7420"/>
    <n v="1305"/>
    <n v="4567"/>
  </r>
  <r>
    <x v="5"/>
    <x v="7"/>
    <n v="3181"/>
    <n v="6043"/>
    <n v="1957"/>
    <n v="3718"/>
  </r>
  <r>
    <x v="5"/>
    <x v="8"/>
    <n v="2827"/>
    <n v="7350"/>
    <n v="1740"/>
    <n v="4524"/>
  </r>
  <r>
    <x v="5"/>
    <x v="9"/>
    <n v="2474"/>
    <n v="7669"/>
    <n v="1522"/>
    <n v="4718"/>
  </r>
  <r>
    <x v="5"/>
    <x v="10"/>
    <n v="2120"/>
    <n v="7208"/>
    <n v="1305"/>
    <n v="4437"/>
  </r>
  <r>
    <x v="5"/>
    <x v="11"/>
    <n v="1767"/>
    <n v="6184"/>
    <n v="1087"/>
    <n v="3804"/>
  </r>
  <r>
    <x v="5"/>
    <x v="12"/>
    <n v="1767"/>
    <n v="7068"/>
    <n v="1087"/>
    <n v="4348"/>
  </r>
  <r>
    <x v="5"/>
    <x v="13"/>
    <n v="1767"/>
    <n v="7951"/>
    <n v="1087"/>
    <n v="4891"/>
  </r>
  <r>
    <x v="5"/>
    <x v="14"/>
    <n v="1413"/>
    <n v="5934"/>
    <n v="870"/>
    <n v="3654"/>
  </r>
  <r>
    <x v="5"/>
    <x v="15"/>
    <n v="1413"/>
    <n v="6499"/>
    <n v="870"/>
    <n v="4002"/>
  </r>
  <r>
    <x v="5"/>
    <x v="16"/>
    <n v="1413"/>
    <n v="7065"/>
    <n v="870"/>
    <n v="4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0" cacheId="1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G15:I33" firstHeaderRow="0" firstDataRow="1" firstDataCol="1" rowPageCount="1" colPageCount="1"/>
  <pivotFields count="6">
    <pivotField axis="axisPage" multipleItemSelectionAllowed="1" showAll="0">
      <items count="7">
        <item h="1" x="3"/>
        <item h="1" x="2"/>
        <item h="1" x="1"/>
        <item h="1" x="0"/>
        <item h="1" x="5"/>
        <item x="4"/>
        <item t="default"/>
      </items>
    </pivotField>
    <pivotField axis="axisRow" showAll="0">
      <items count="18">
        <item x="1"/>
        <item x="2"/>
        <item x="3"/>
        <item x="4"/>
        <item x="5"/>
        <item x="6"/>
        <item x="7"/>
        <item x="16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求和项:角色输出" fld="4" baseField="0" baseItem="0"/>
    <dataField name="求和项:角色暴击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9" cacheId="1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5:C33" firstHeaderRow="0" firstDataRow="1" firstDataCol="1" rowPageCount="1" colPageCount="1"/>
  <pivotFields count="6">
    <pivotField axis="axisPage" showAll="0">
      <items count="7">
        <item x="3"/>
        <item x="2"/>
        <item x="1"/>
        <item x="0"/>
        <item x="5"/>
        <item x="4"/>
        <item t="default"/>
      </items>
    </pivotField>
    <pivotField axis="axisRow" showAll="0" nonAutoSortDefault="1">
      <items count="18">
        <item x="1"/>
        <item x="2"/>
        <item x="3"/>
        <item x="4"/>
        <item x="5"/>
        <item x="6"/>
        <item x="7"/>
        <item x="16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求和项:怪物输出" fld="2" baseField="0" baseItem="0"/>
    <dataField name="求和项:怪物暴击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类别" sourceName="类别">
  <pivotTables>
    <pivotTable tabId="1" name="数据透视表19"/>
  </pivotTables>
  <data>
    <tabular pivotCacheId="4">
      <items count="6">
        <i x="3"/>
        <i x="2"/>
        <i x="1" s="1"/>
        <i x="0"/>
        <i x="5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类别1" sourceName="类别">
  <pivotTables>
    <pivotTable tabId="1" name="数据透视表20"/>
  </pivotTables>
  <data>
    <tabular pivotCacheId="4">
      <items count="6">
        <i x="3"/>
        <i x="2"/>
        <i x="1"/>
        <i x="0"/>
        <i x="5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类别" cache="切片器_类别" caption="类别" rowHeight="225425"/>
  <slicer name="类别 1" cache="切片器_类别1" caption="类别" rowHeight="225425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9"/>
  <sheetViews>
    <sheetView tabSelected="1" workbookViewId="0">
      <selection activeCell="A6" sqref="A6"/>
    </sheetView>
  </sheetViews>
  <sheetFormatPr defaultRowHeight="13.5" x14ac:dyDescent="0.15"/>
  <cols>
    <col min="1" max="1" width="9.75" customWidth="1"/>
    <col min="2" max="3" width="17.625" customWidth="1"/>
    <col min="4" max="6" width="9" customWidth="1"/>
    <col min="7" max="7" width="9.75" customWidth="1"/>
    <col min="8" max="9" width="17.625" customWidth="1"/>
    <col min="10" max="18" width="9" customWidth="1"/>
  </cols>
  <sheetData>
    <row r="1" spans="1:23" x14ac:dyDescent="0.15">
      <c r="A1" s="10" t="s">
        <v>14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9"/>
      <c r="I1" s="11" t="s">
        <v>1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9</v>
      </c>
      <c r="R1" s="11" t="s">
        <v>10</v>
      </c>
      <c r="S1" s="11" t="s">
        <v>11</v>
      </c>
      <c r="T1" s="11" t="s">
        <v>12</v>
      </c>
      <c r="U1" s="11" t="s">
        <v>13</v>
      </c>
      <c r="V1" s="11" t="s">
        <v>71</v>
      </c>
    </row>
    <row r="2" spans="1:23" x14ac:dyDescent="0.15">
      <c r="A2" s="7">
        <v>170</v>
      </c>
      <c r="B2" s="7">
        <v>5</v>
      </c>
      <c r="C2" s="7">
        <v>1.5</v>
      </c>
      <c r="D2" s="7">
        <v>2.5</v>
      </c>
      <c r="E2" s="7">
        <v>1</v>
      </c>
      <c r="F2" s="7">
        <v>1</v>
      </c>
      <c r="G2" s="7">
        <v>1</v>
      </c>
      <c r="H2" s="3" t="s">
        <v>16</v>
      </c>
      <c r="I2" s="3">
        <f>INT(VLOOKUP(A2,Sheet2!A2:N22,2,0)*C2)</f>
        <v>3825</v>
      </c>
      <c r="J2" s="3">
        <f>VLOOKUP(A2,Sheet2!A2:N22,3,0)*B2</f>
        <v>12750</v>
      </c>
      <c r="K2" s="3">
        <f>VLOOKUP(A2,Sheet2!A2:N22,4,0)</f>
        <v>0</v>
      </c>
      <c r="L2" s="3">
        <f>VLOOKUP(A2,Sheet2!A2:N22,5,0)*E2</f>
        <v>340</v>
      </c>
      <c r="M2" s="3">
        <f>INT(VLOOKUP(A2,Sheet2!A2:N22,6,0)*F2)</f>
        <v>1020</v>
      </c>
      <c r="N2" s="3">
        <f>INT(VLOOKUP(A2,Sheet2!A2:N22,7,0)*G2)</f>
        <v>680</v>
      </c>
      <c r="O2" s="3">
        <f>INT(VLOOKUP(A2,Sheet2!A2:N22,8,0)*D2)</f>
        <v>3400</v>
      </c>
      <c r="P2" s="3">
        <f>VLOOKUP(A2,Sheet2!A2:N22,9,0)</f>
        <v>1800</v>
      </c>
      <c r="Q2" s="3">
        <f>VLOOKUP(A2,Sheet2!A2:N22,10,0)</f>
        <v>384</v>
      </c>
      <c r="R2" s="3">
        <f>VLOOKUP(A2,Sheet2!A2:N22,11,0)</f>
        <v>384</v>
      </c>
      <c r="S2" s="3">
        <f>VLOOKUP(A2,Sheet2!A2:N22,12,0)</f>
        <v>850</v>
      </c>
      <c r="T2" s="3">
        <f>VLOOKUP(A2,Sheet2!A2:N22,13,0)</f>
        <v>384</v>
      </c>
      <c r="U2" s="3">
        <f>VLOOKUP(A2,Sheet2!A2:N22,14,0)</f>
        <v>384</v>
      </c>
      <c r="V2" s="3">
        <f>VLOOKUP(A2,Sheet2!A2:O22,15,0)</f>
        <v>25</v>
      </c>
    </row>
    <row r="3" spans="1:23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3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3" x14ac:dyDescent="0.15">
      <c r="A5" s="7" t="s">
        <v>23</v>
      </c>
      <c r="B5" s="7"/>
      <c r="C5" s="7" t="s">
        <v>53</v>
      </c>
      <c r="D5" s="7" t="s">
        <v>54</v>
      </c>
    </row>
    <row r="6" spans="1:23" x14ac:dyDescent="0.15">
      <c r="A6" s="7">
        <v>174</v>
      </c>
      <c r="B6" s="7"/>
      <c r="C6" s="7">
        <v>1</v>
      </c>
      <c r="D6" s="7">
        <v>1</v>
      </c>
      <c r="I6" s="11" t="s">
        <v>1</v>
      </c>
      <c r="J6" s="11" t="s">
        <v>56</v>
      </c>
      <c r="K6" s="11" t="s">
        <v>2</v>
      </c>
      <c r="L6" s="11" t="s">
        <v>3</v>
      </c>
      <c r="M6" s="11" t="s">
        <v>4</v>
      </c>
      <c r="N6" s="11" t="s">
        <v>5</v>
      </c>
      <c r="O6" s="11" t="s">
        <v>6</v>
      </c>
      <c r="P6" s="11" t="s">
        <v>7</v>
      </c>
      <c r="Q6" s="11" t="s">
        <v>8</v>
      </c>
      <c r="R6" s="11" t="s">
        <v>9</v>
      </c>
      <c r="S6" s="11" t="s">
        <v>10</v>
      </c>
      <c r="T6" s="11" t="s">
        <v>11</v>
      </c>
      <c r="U6" s="11" t="s">
        <v>12</v>
      </c>
      <c r="V6" s="11" t="s">
        <v>13</v>
      </c>
      <c r="W6" s="11" t="s">
        <v>70</v>
      </c>
    </row>
    <row r="7" spans="1:23" x14ac:dyDescent="0.15">
      <c r="A7" s="4" t="s">
        <v>60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5" t="s">
        <v>72</v>
      </c>
      <c r="H7" s="3" t="s">
        <v>90</v>
      </c>
      <c r="I7">
        <f>INT(VLOOKUP(A6,Sheet2!A27:N202,4,0)+(T7*C8+B10)+(J7/3)+E10)</f>
        <v>1555</v>
      </c>
      <c r="J7">
        <f>VLOOKUP(A6,Sheet2!A27:N202,2,0)+(T7*B8+A10)+G10</f>
        <v>1404</v>
      </c>
      <c r="K7">
        <f>VLOOKUP(A6,Sheet2!A27:N202,10,0)+(T7*E8+100)+B12</f>
        <v>1349</v>
      </c>
      <c r="L7">
        <f>VLOOKUP(A6,Sheet2!A27:N202,8,0)+(R7*0.3+S7*0.7+T7*0.3+U7*0.2)+D10</f>
        <v>1516</v>
      </c>
      <c r="M7">
        <f>INT(VLOOKUP(A6,Sheet2!A27:N202,12,0)*0.7+(R7*0.1+T7*0.1+U7*0.1+V7*0.7))+A12</f>
        <v>220</v>
      </c>
      <c r="N7">
        <f>INT(VLOOKUP(A6,Sheet2!A27:N202,6,0)+(U7*D8))+F10</f>
        <v>1212</v>
      </c>
      <c r="O7">
        <f>L7</f>
        <v>1516</v>
      </c>
      <c r="P7">
        <f>L7</f>
        <v>1516</v>
      </c>
      <c r="Q7">
        <f>VLOOKUP(A6,Sheet2!A27:N202,14,0)+(S7*F8)+C12</f>
        <v>3386</v>
      </c>
      <c r="R7">
        <f>VLOOKUP(G8,Sheet2!A208:F224,2,0)*A6+10</f>
        <v>184</v>
      </c>
      <c r="S7">
        <f>VLOOKUP(G8,Sheet2!A208:F224,3,0)*A6+10</f>
        <v>1054</v>
      </c>
      <c r="T7">
        <f>VLOOKUP(G8,Sheet2!A208:F224,4,0)*A6+10</f>
        <v>184</v>
      </c>
      <c r="U7">
        <f>VLOOKUP(G8,Sheet2!A208:F224,5,0)*A6+10</f>
        <v>184</v>
      </c>
      <c r="V7">
        <f>VLOOKUP(G8,Sheet2!A208:F224,6,0)*A6+10</f>
        <v>184</v>
      </c>
      <c r="W7">
        <f>VLOOKUP(A6,Sheet2!A27:AI202,35,0)</f>
        <v>25</v>
      </c>
    </row>
    <row r="8" spans="1:23" x14ac:dyDescent="0.15">
      <c r="A8" s="4" t="s">
        <v>57</v>
      </c>
      <c r="B8" s="4">
        <f>VLOOKUP(A8,Sheet2!A204:F206,2,0)</f>
        <v>2</v>
      </c>
      <c r="C8" s="4">
        <f>VLOOKUP(A8,Sheet2!A204:F206,3,0)</f>
        <v>0.7</v>
      </c>
      <c r="D8" s="4">
        <f>VLOOKUP(A8,Sheet2!A204:F206,4,0)</f>
        <v>1.5</v>
      </c>
      <c r="E8" s="4">
        <f>VLOOKUP(A8,Sheet2!A204:F206,5,0)</f>
        <v>5</v>
      </c>
      <c r="F8" s="4">
        <f>VLOOKUP(A8,Sheet2!A204:F206,6,0)</f>
        <v>3</v>
      </c>
      <c r="G8" s="5" t="s">
        <v>156</v>
      </c>
      <c r="H8" s="3" t="s">
        <v>91</v>
      </c>
      <c r="I8">
        <f>INT((VLOOKUP(A6,Sheet2!A27:N202,5,0)+(T8*C8+B10)+(J8/3))+E10)</f>
        <v>1801</v>
      </c>
      <c r="J8">
        <f>VLOOKUP(A6,Sheet2!A27:N202,3,0)+(T7*B8+A10)+G10</f>
        <v>1610</v>
      </c>
      <c r="K8">
        <f>VLOOKUP(A6,Sheet2!A27:N202,11,0)+(T7*E8+100)+B12</f>
        <v>1469</v>
      </c>
      <c r="L8">
        <f>VLOOKUP(A6,Sheet2!A27:N202,9,0)+(R7*0.3+S7*0.7+T7*0.3+U7*0.2)+D10</f>
        <v>1587</v>
      </c>
      <c r="M8">
        <f>INT(VLOOKUP(A6,Sheet2!A27:N202,13,0)*0.7+(R7*0.1+T7*0.1+U7*0.1+V7*0.7))+A12</f>
        <v>233</v>
      </c>
      <c r="N8">
        <f>INT(VLOOKUP(A6,Sheet2!A27:N202,7,0)+(U7*D8))+F10</f>
        <v>1396</v>
      </c>
      <c r="O8">
        <f>L8</f>
        <v>1587</v>
      </c>
      <c r="P8">
        <f>L8</f>
        <v>1587</v>
      </c>
      <c r="Q8">
        <f>VLOOKUP(A6,Sheet2!A27:N202,14,0)+(S7*F8)+C12</f>
        <v>3386</v>
      </c>
      <c r="R8">
        <f>VLOOKUP(G8,Sheet2!A208:F224,2,0)*A6+10</f>
        <v>184</v>
      </c>
      <c r="S8">
        <f>VLOOKUP(G8,Sheet2!A208:F224,3,0)*A6+10</f>
        <v>1054</v>
      </c>
      <c r="T8">
        <f>VLOOKUP(G8,Sheet2!A208:F224,4,0)*A6+10</f>
        <v>184</v>
      </c>
      <c r="U8">
        <f>VLOOKUP(G8,Sheet2!A208:F224,5,0)*A6+10</f>
        <v>184</v>
      </c>
      <c r="V8">
        <f>VLOOKUP(G8,Sheet2!A208:F224,6,0)*A6+10</f>
        <v>184</v>
      </c>
      <c r="W8">
        <f>VLOOKUP(A6,Sheet2!A27:AI202,35,0)</f>
        <v>25</v>
      </c>
    </row>
    <row r="9" spans="1:23" x14ac:dyDescent="0.15">
      <c r="A9" s="4" t="s">
        <v>68</v>
      </c>
      <c r="B9" s="4" t="s">
        <v>69</v>
      </c>
      <c r="C9" s="7" t="s">
        <v>92</v>
      </c>
      <c r="D9" s="7" t="s">
        <v>108</v>
      </c>
      <c r="E9" s="7" t="s">
        <v>109</v>
      </c>
      <c r="F9" s="7" t="s">
        <v>110</v>
      </c>
      <c r="G9" s="7" t="s">
        <v>56</v>
      </c>
    </row>
    <row r="10" spans="1:23" x14ac:dyDescent="0.15">
      <c r="A10" s="6">
        <f>VLOOKUP(A8,Sheet2!A204:H206,7,0)</f>
        <v>30</v>
      </c>
      <c r="B10" s="6">
        <f>VLOOKUP(A8,Sheet2!A204:H206,8,0)</f>
        <v>34</v>
      </c>
      <c r="C10" s="7" t="s">
        <v>93</v>
      </c>
      <c r="D10" s="7">
        <f>VLOOKUP(C10,Sheet2!A226:H240,2,0)*A6</f>
        <v>435</v>
      </c>
      <c r="E10" s="7">
        <f>VLOOKUP(C10,Sheet2!A226:H240,3,0)*A6</f>
        <v>435</v>
      </c>
      <c r="F10" s="7">
        <f>VLOOKUP(C10,Sheet2!A226:H240,4,0)*A6</f>
        <v>435</v>
      </c>
      <c r="G10" s="7">
        <f>VLOOKUP(C10,Sheet2!A226:H240,5,0)*A6</f>
        <v>435</v>
      </c>
      <c r="H10" s="3"/>
    </row>
    <row r="11" spans="1:23" x14ac:dyDescent="0.15">
      <c r="A11" s="7" t="s">
        <v>111</v>
      </c>
      <c r="B11" s="7" t="s">
        <v>112</v>
      </c>
      <c r="C11" s="8" t="s">
        <v>113</v>
      </c>
      <c r="H11" s="3"/>
    </row>
    <row r="12" spans="1:23" x14ac:dyDescent="0.15">
      <c r="A12" s="13">
        <f>VLOOKUP(C10,Sheet2!A226:H240,6,0)*A6</f>
        <v>0</v>
      </c>
      <c r="B12" s="13">
        <f>VLOOKUP(C10,Sheet2!A226:H240,7,0)*A6</f>
        <v>0</v>
      </c>
      <c r="C12" s="13">
        <f>VLOOKUP(C10,Sheet2!A226:H240,8,0)*A6</f>
        <v>0</v>
      </c>
      <c r="H12" s="3"/>
    </row>
    <row r="13" spans="1:23" x14ac:dyDescent="0.15">
      <c r="A13" s="16" t="s">
        <v>120</v>
      </c>
      <c r="B13" t="s">
        <v>143</v>
      </c>
      <c r="G13" s="16" t="s">
        <v>120</v>
      </c>
      <c r="H13" t="s">
        <v>155</v>
      </c>
    </row>
    <row r="15" spans="1:23" x14ac:dyDescent="0.15">
      <c r="A15" s="16" t="s">
        <v>118</v>
      </c>
      <c r="B15" t="s">
        <v>151</v>
      </c>
      <c r="C15" t="s">
        <v>153</v>
      </c>
      <c r="G15" s="16" t="s">
        <v>118</v>
      </c>
      <c r="H15" t="s">
        <v>152</v>
      </c>
      <c r="I15" t="s">
        <v>154</v>
      </c>
    </row>
    <row r="16" spans="1:23" x14ac:dyDescent="0.15">
      <c r="A16" s="17" t="s">
        <v>117</v>
      </c>
      <c r="B16" s="18">
        <v>2458</v>
      </c>
      <c r="C16" s="18">
        <v>4916</v>
      </c>
      <c r="G16" s="17" t="s">
        <v>117</v>
      </c>
      <c r="H16" s="18">
        <v>2196</v>
      </c>
      <c r="I16" s="18">
        <v>4392</v>
      </c>
    </row>
    <row r="17" spans="1:9" x14ac:dyDescent="0.15">
      <c r="A17" s="17" t="s">
        <v>133</v>
      </c>
      <c r="B17" s="18">
        <v>2135</v>
      </c>
      <c r="C17" s="18">
        <v>4056</v>
      </c>
      <c r="G17" s="17" t="s">
        <v>133</v>
      </c>
      <c r="H17" s="18">
        <v>1862</v>
      </c>
      <c r="I17" s="18">
        <v>3537</v>
      </c>
    </row>
    <row r="18" spans="1:9" x14ac:dyDescent="0.15">
      <c r="A18" s="17" t="s">
        <v>135</v>
      </c>
      <c r="B18" s="18">
        <v>1898</v>
      </c>
      <c r="C18" s="18">
        <v>4934</v>
      </c>
      <c r="G18" s="17" t="s">
        <v>135</v>
      </c>
      <c r="H18" s="18">
        <v>1655</v>
      </c>
      <c r="I18" s="18">
        <v>4303</v>
      </c>
    </row>
    <row r="19" spans="1:9" x14ac:dyDescent="0.15">
      <c r="A19" s="17" t="s">
        <v>136</v>
      </c>
      <c r="B19" s="18">
        <v>1661</v>
      </c>
      <c r="C19" s="18">
        <v>5149</v>
      </c>
      <c r="G19" s="17" t="s">
        <v>136</v>
      </c>
      <c r="H19" s="18">
        <v>1448</v>
      </c>
      <c r="I19" s="18">
        <v>4488</v>
      </c>
    </row>
    <row r="20" spans="1:9" x14ac:dyDescent="0.15">
      <c r="A20" s="17" t="s">
        <v>137</v>
      </c>
      <c r="B20" s="18">
        <v>1423</v>
      </c>
      <c r="C20" s="18">
        <v>4838</v>
      </c>
      <c r="G20" s="17" t="s">
        <v>137</v>
      </c>
      <c r="H20" s="18">
        <v>837</v>
      </c>
      <c r="I20" s="18">
        <v>2845</v>
      </c>
    </row>
    <row r="21" spans="1:9" x14ac:dyDescent="0.15">
      <c r="A21" s="17" t="s">
        <v>138</v>
      </c>
      <c r="B21" s="18">
        <v>1423</v>
      </c>
      <c r="C21" s="18">
        <v>4980</v>
      </c>
      <c r="G21" s="17" t="s">
        <v>138</v>
      </c>
      <c r="H21" s="18">
        <v>1241</v>
      </c>
      <c r="I21" s="18">
        <v>4343</v>
      </c>
    </row>
    <row r="22" spans="1:9" x14ac:dyDescent="0.15">
      <c r="A22" s="17" t="s">
        <v>122</v>
      </c>
      <c r="B22" s="18">
        <v>2135</v>
      </c>
      <c r="C22" s="18">
        <v>4056</v>
      </c>
      <c r="G22" s="17" t="s">
        <v>122</v>
      </c>
      <c r="H22" s="18">
        <v>1862</v>
      </c>
      <c r="I22" s="18">
        <v>3537</v>
      </c>
    </row>
    <row r="23" spans="1:9" x14ac:dyDescent="0.15">
      <c r="A23" s="17" t="s">
        <v>132</v>
      </c>
      <c r="B23" s="18">
        <v>949</v>
      </c>
      <c r="C23" s="18">
        <v>4745</v>
      </c>
      <c r="G23" s="17" t="s">
        <v>132</v>
      </c>
      <c r="H23" s="18">
        <v>827</v>
      </c>
      <c r="I23" s="18">
        <v>4135</v>
      </c>
    </row>
    <row r="24" spans="1:9" x14ac:dyDescent="0.15">
      <c r="A24" s="17" t="s">
        <v>124</v>
      </c>
      <c r="B24" s="18">
        <v>1898</v>
      </c>
      <c r="C24" s="18">
        <v>4934</v>
      </c>
      <c r="G24" s="17" t="s">
        <v>124</v>
      </c>
      <c r="H24" s="18">
        <v>1655</v>
      </c>
      <c r="I24" s="18">
        <v>4303</v>
      </c>
    </row>
    <row r="25" spans="1:9" x14ac:dyDescent="0.15">
      <c r="A25" s="17" t="s">
        <v>125</v>
      </c>
      <c r="B25" s="18">
        <v>1661</v>
      </c>
      <c r="C25" s="18">
        <v>5149</v>
      </c>
      <c r="G25" s="17" t="s">
        <v>125</v>
      </c>
      <c r="H25" s="18">
        <v>977</v>
      </c>
      <c r="I25" s="18">
        <v>3028</v>
      </c>
    </row>
    <row r="26" spans="1:9" x14ac:dyDescent="0.15">
      <c r="A26" s="17" t="s">
        <v>126</v>
      </c>
      <c r="B26" s="18">
        <v>1423</v>
      </c>
      <c r="C26" s="18">
        <v>4838</v>
      </c>
      <c r="G26" s="17" t="s">
        <v>126</v>
      </c>
      <c r="H26" s="18">
        <v>1241</v>
      </c>
      <c r="I26" s="18">
        <v>4219</v>
      </c>
    </row>
    <row r="27" spans="1:9" x14ac:dyDescent="0.15">
      <c r="A27" s="17" t="s">
        <v>127</v>
      </c>
      <c r="B27" s="18">
        <v>1186</v>
      </c>
      <c r="C27" s="18">
        <v>4151</v>
      </c>
      <c r="G27" s="17" t="s">
        <v>127</v>
      </c>
      <c r="H27" s="18">
        <v>1034</v>
      </c>
      <c r="I27" s="18">
        <v>3619</v>
      </c>
    </row>
    <row r="28" spans="1:9" x14ac:dyDescent="0.15">
      <c r="A28" s="17" t="s">
        <v>128</v>
      </c>
      <c r="B28" s="18">
        <v>1186</v>
      </c>
      <c r="C28" s="18">
        <v>4744</v>
      </c>
      <c r="G28" s="17" t="s">
        <v>128</v>
      </c>
      <c r="H28" s="18">
        <v>1034</v>
      </c>
      <c r="I28" s="18">
        <v>4136</v>
      </c>
    </row>
    <row r="29" spans="1:9" x14ac:dyDescent="0.15">
      <c r="A29" s="17" t="s">
        <v>129</v>
      </c>
      <c r="B29" s="18">
        <v>1186</v>
      </c>
      <c r="C29" s="18">
        <v>5337</v>
      </c>
      <c r="G29" s="17" t="s">
        <v>129</v>
      </c>
      <c r="H29" s="18">
        <v>1034</v>
      </c>
      <c r="I29" s="18">
        <v>4653</v>
      </c>
    </row>
    <row r="30" spans="1:9" x14ac:dyDescent="0.15">
      <c r="A30" s="17" t="s">
        <v>130</v>
      </c>
      <c r="B30" s="18">
        <v>949</v>
      </c>
      <c r="C30" s="18">
        <v>3985</v>
      </c>
      <c r="G30" s="17" t="s">
        <v>130</v>
      </c>
      <c r="H30" s="18">
        <v>827</v>
      </c>
      <c r="I30" s="18">
        <v>3473</v>
      </c>
    </row>
    <row r="31" spans="1:9" x14ac:dyDescent="0.15">
      <c r="A31" s="17" t="s">
        <v>131</v>
      </c>
      <c r="B31" s="18">
        <v>949</v>
      </c>
      <c r="C31" s="18">
        <v>4365</v>
      </c>
      <c r="G31" s="17" t="s">
        <v>131</v>
      </c>
      <c r="H31" s="18">
        <v>827</v>
      </c>
      <c r="I31" s="18">
        <v>3804</v>
      </c>
    </row>
    <row r="32" spans="1:9" x14ac:dyDescent="0.15">
      <c r="A32" s="17" t="s">
        <v>116</v>
      </c>
      <c r="B32" s="18">
        <v>2479</v>
      </c>
      <c r="C32" s="18">
        <v>4958</v>
      </c>
      <c r="G32" s="17" t="s">
        <v>116</v>
      </c>
      <c r="H32" s="18">
        <v>852</v>
      </c>
      <c r="I32" s="18">
        <v>1704</v>
      </c>
    </row>
    <row r="33" spans="1:17" x14ac:dyDescent="0.15">
      <c r="A33" s="17" t="s">
        <v>119</v>
      </c>
      <c r="B33" s="18">
        <v>26999</v>
      </c>
      <c r="C33" s="18">
        <v>80135</v>
      </c>
      <c r="G33" s="17" t="s">
        <v>119</v>
      </c>
      <c r="H33" s="18">
        <v>21409</v>
      </c>
      <c r="I33" s="18">
        <v>64519</v>
      </c>
    </row>
    <row r="41" spans="1:17" x14ac:dyDescent="0.15">
      <c r="A41" s="12" t="s">
        <v>121</v>
      </c>
      <c r="B41" s="12" t="s">
        <v>139</v>
      </c>
      <c r="C41" s="12" t="s">
        <v>140</v>
      </c>
      <c r="D41" s="12" t="s">
        <v>141</v>
      </c>
      <c r="E41" s="12" t="s">
        <v>149</v>
      </c>
      <c r="F41" s="12" t="s">
        <v>150</v>
      </c>
    </row>
    <row r="42" spans="1:17" x14ac:dyDescent="0.15">
      <c r="A42" s="14" t="s">
        <v>142</v>
      </c>
      <c r="B42" s="12" t="s">
        <v>114</v>
      </c>
      <c r="C42" s="12">
        <f>INT(($I$2-$N$7)*(1+(($V$2-$W$7)/100*2))+($V$2*2))</f>
        <v>2663</v>
      </c>
      <c r="D42" s="15">
        <f>C42*2</f>
        <v>5326</v>
      </c>
      <c r="E42" s="12">
        <f>INT(($I$7-$M$2)*(1+(($W$7-$V$2)/100*2))+($W$7*2))</f>
        <v>585</v>
      </c>
      <c r="F42" s="15">
        <f>E42*2</f>
        <v>1170</v>
      </c>
    </row>
    <row r="43" spans="1:17" x14ac:dyDescent="0.15">
      <c r="A43" s="14" t="s">
        <v>142</v>
      </c>
      <c r="B43" s="12" t="s">
        <v>115</v>
      </c>
      <c r="C43" s="12">
        <f>INT(($A$2*3.5+$K$2+$O$2-$O$7)*(1+(($V$2-$W$7)/100*2))+($V$2*2))</f>
        <v>2529</v>
      </c>
      <c r="D43" s="15">
        <f>C43*2</f>
        <v>5058</v>
      </c>
      <c r="E43" s="12">
        <f>INT(($A$2*3.5+$P$7-$N$2)*(1+(($W$7-$V$2)/100*2))+($W$7*2))</f>
        <v>1481</v>
      </c>
      <c r="F43" s="15">
        <f>E43*2</f>
        <v>2962</v>
      </c>
    </row>
    <row r="44" spans="1:17" x14ac:dyDescent="0.15">
      <c r="A44" s="14" t="s">
        <v>142</v>
      </c>
      <c r="B44" s="12" t="s">
        <v>134</v>
      </c>
      <c r="C44" s="12">
        <f>INT((($A$2*3+$K$2+$O$2-$O$7)*(1+(($V$2-$W$7)/100*2))+($V$2*2))*0.9)</f>
        <v>2199</v>
      </c>
      <c r="D44" s="12">
        <f>INT(C44*1.9)</f>
        <v>4178</v>
      </c>
      <c r="E44" s="12">
        <f>INT((($A$2*3+$P$7-$N$2)*(1+(($W$7-$V$2)/100*2))+($W$7*2))*0.9)</f>
        <v>1256</v>
      </c>
      <c r="F44" s="12">
        <f>INT(E44*1.9)</f>
        <v>2386</v>
      </c>
    </row>
    <row r="45" spans="1:17" x14ac:dyDescent="0.15">
      <c r="A45" s="14" t="s">
        <v>142</v>
      </c>
      <c r="B45" s="12" t="s">
        <v>135</v>
      </c>
      <c r="C45" s="12">
        <f>INT((($A$2*3+$K$2+$O$2-$O$7)*(1+(($V$2-$W$7)/100*2))+($V$2*2))*0.8)</f>
        <v>1955</v>
      </c>
      <c r="D45" s="12">
        <f>INT(C45*2.6)</f>
        <v>5083</v>
      </c>
      <c r="E45" s="12">
        <f>INT((($A$2*3+$P$7-$N$2)*(1+(($W$7-$V$2)/100*2))+($W$7*2))*0.8)</f>
        <v>1116</v>
      </c>
      <c r="F45" s="12">
        <f>INT(E45*2.6)</f>
        <v>2901</v>
      </c>
    </row>
    <row r="46" spans="1:17" x14ac:dyDescent="0.15">
      <c r="A46" s="14" t="s">
        <v>142</v>
      </c>
      <c r="B46" s="12" t="s">
        <v>136</v>
      </c>
      <c r="C46" s="12">
        <f>INT((($A$2*3+$K$2+$O$2-$O$7)*(1+(($V$2-$W$7)/100*2))+($V$2*2))*0.7)</f>
        <v>1710</v>
      </c>
      <c r="D46" s="12">
        <f>INT(C46*3.1)</f>
        <v>5301</v>
      </c>
      <c r="E46" s="12">
        <f>INT((($A$2*3+$P$7-$N$2)*(1+(($W$7-$V$2)/100*2))+($W$7*2))*0.7)</f>
        <v>977</v>
      </c>
      <c r="F46" s="12">
        <f>INT(E46*3.1)</f>
        <v>3028</v>
      </c>
    </row>
    <row r="47" spans="1:17" x14ac:dyDescent="0.15">
      <c r="A47" s="14" t="s">
        <v>142</v>
      </c>
      <c r="B47" s="12" t="s">
        <v>137</v>
      </c>
      <c r="C47" s="12">
        <f>INT((($A$2*3+$K$2+$O$2-$O$7)*(1+(($V$2-$W$7)/100*2))+($V$2*2))*0.6)</f>
        <v>1466</v>
      </c>
      <c r="D47" s="12">
        <f>INT(C47*3.4)</f>
        <v>4984</v>
      </c>
      <c r="E47" s="12">
        <f>INT((($A$2*3+$P$7-$N$2)*(1+(($W$7-$V$2)/100*2))+($W$7*2))*0.6)</f>
        <v>837</v>
      </c>
      <c r="F47" s="12">
        <f>INT(E47*3.4)</f>
        <v>2845</v>
      </c>
    </row>
    <row r="48" spans="1:17" x14ac:dyDescent="0.15">
      <c r="A48" s="14" t="s">
        <v>142</v>
      </c>
      <c r="B48" s="12" t="s">
        <v>138</v>
      </c>
      <c r="C48" s="12">
        <f>INT((($A$2*3+$K$2+$O$2-$O$7)*(1+(($V$2-$W$7)/100*2))+($V$2*2))*0.6)</f>
        <v>1466</v>
      </c>
      <c r="D48" s="12">
        <f>INT(C48*3.5)</f>
        <v>5131</v>
      </c>
      <c r="E48" s="12">
        <f>INT((($A$2*3+$P$7-$N$2)*(1+(($W$7-$V$2)/100*2))+($W$7*2))*0.6)</f>
        <v>837</v>
      </c>
      <c r="F48" s="12">
        <f>INT(E48*3.5)</f>
        <v>2929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35" x14ac:dyDescent="0.15">
      <c r="A49" s="14" t="s">
        <v>142</v>
      </c>
      <c r="B49" s="12" t="s">
        <v>123</v>
      </c>
      <c r="C49" s="12">
        <f>INT((($A$2*3+$K$2+$O$2-$O$7)*(1+(($V$2-$W$7)/100*2))+($V$2*2))*0.9)</f>
        <v>2199</v>
      </c>
      <c r="D49" s="12">
        <f>INT(C49*1.9)</f>
        <v>4178</v>
      </c>
      <c r="E49" s="12">
        <f>INT((($A$2*3+$P$7-$N$2)*(1+(($W$7-$V$2)/100*2))+($W$7*2))*0.9)</f>
        <v>1256</v>
      </c>
      <c r="F49" s="12">
        <f>INT(E49*1.9)</f>
        <v>2386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35" x14ac:dyDescent="0.15">
      <c r="A50" s="14" t="s">
        <v>142</v>
      </c>
      <c r="B50" s="12" t="s">
        <v>124</v>
      </c>
      <c r="C50" s="12">
        <f>INT((($A$2*3+$K$2+$O$2-$O$7)*(1+(($V$2-$W$7)/100*2))+($V$2*2))*0.8)</f>
        <v>1955</v>
      </c>
      <c r="D50" s="12">
        <f>INT(C50*2.6)</f>
        <v>5083</v>
      </c>
      <c r="E50" s="12">
        <f>INT((($A$2*3+$P$7-$N$2)*(1+(($W$7-$V$2)/100*2))+($W$7*2))*0.8)</f>
        <v>1116</v>
      </c>
      <c r="F50" s="12">
        <f>INT(E50*2.6)</f>
        <v>2901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35" x14ac:dyDescent="0.15">
      <c r="A51" s="14" t="s">
        <v>142</v>
      </c>
      <c r="B51" s="12" t="s">
        <v>125</v>
      </c>
      <c r="C51" s="12">
        <f>INT((($A$2*3+$K$2+$O$2-$O$7)*(1+(($V$2-$W$7)/100*2))+($V$2*2))*0.7)</f>
        <v>1710</v>
      </c>
      <c r="D51" s="12">
        <f>INT(C51*3.1)</f>
        <v>5301</v>
      </c>
      <c r="E51" s="12">
        <f>INT((($A$2*3+$P$7-$N$2)*(1+(($W$7-$V$2)/100*2))+($W$7*2))*0.7)</f>
        <v>977</v>
      </c>
      <c r="F51" s="12">
        <f>INT(E51*3.1)</f>
        <v>3028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35" x14ac:dyDescent="0.15">
      <c r="A52" s="14" t="s">
        <v>142</v>
      </c>
      <c r="B52" s="12" t="s">
        <v>126</v>
      </c>
      <c r="C52" s="12">
        <f>INT((($A$2*3+$K$2+$O$2-$O$7)*(1+(($V$2-$W$7)/100*2))+($V$2*2))*0.6)</f>
        <v>1466</v>
      </c>
      <c r="D52" s="12">
        <f>INT(C52*3.4)</f>
        <v>4984</v>
      </c>
      <c r="E52" s="12">
        <f>INT((($A$2*3+$P$7-$N$2)*(1+(($W$7-$V$2)/100*2))+($W$7*2))*0.6)</f>
        <v>837</v>
      </c>
      <c r="F52" s="12">
        <f>INT(E52*3.4)</f>
        <v>2845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35" x14ac:dyDescent="0.15">
      <c r="A53" s="14" t="s">
        <v>142</v>
      </c>
      <c r="B53" s="12" t="s">
        <v>127</v>
      </c>
      <c r="C53" s="12">
        <f>INT((($A$2*3+$K$2+$O$2-$O$7)*(1+(($V$2-$W$7)/100*2))+($V$2*2))*0.5)</f>
        <v>1222</v>
      </c>
      <c r="D53" s="12">
        <f>INT(C53*3.5)</f>
        <v>4277</v>
      </c>
      <c r="E53" s="12">
        <f>INT((($A$2*3+$P$7-$N$2)*(1+(($W$7-$V$2)/100*2))+($W$7*2))*0.5)</f>
        <v>698</v>
      </c>
      <c r="F53" s="12">
        <f>INT(E53*3.5)</f>
        <v>2443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35" x14ac:dyDescent="0.15">
      <c r="A54" s="14" t="s">
        <v>142</v>
      </c>
      <c r="B54" s="12" t="s">
        <v>128</v>
      </c>
      <c r="C54" s="12">
        <f>INT((($A$2*3+$K$2+$O$2-$O$7)*(1+(($V$2-$W$7)/100*2))+($V$2*2))*0.5)</f>
        <v>1222</v>
      </c>
      <c r="D54" s="12">
        <f>INT(C54*4)</f>
        <v>4888</v>
      </c>
      <c r="E54" s="12">
        <f>INT((($A$2*3+$P$7-$N$2)*(1+(($W$7-$V$2)/100*2))+($W$7*2))*0.5)</f>
        <v>698</v>
      </c>
      <c r="F54" s="12">
        <f>INT(E54*4)</f>
        <v>2792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35" x14ac:dyDescent="0.15">
      <c r="A55" s="14" t="s">
        <v>142</v>
      </c>
      <c r="B55" s="12" t="s">
        <v>129</v>
      </c>
      <c r="C55" s="12">
        <f>INT((($A$2*3+$K$2+$O$2-$O$7)*(1+(($V$2-$W$7)/100*2))+($V$2*2))*0.5)</f>
        <v>1222</v>
      </c>
      <c r="D55" s="12">
        <f>INT(C55*4.5)</f>
        <v>5499</v>
      </c>
      <c r="E55" s="12">
        <f>INT((($A$2*3+$P$7-$N$2)*(1+(($W$7-$V$2)/100*2))+($W$7*2))*0.5)</f>
        <v>698</v>
      </c>
      <c r="F55" s="12">
        <f>INT(E55*4.5)</f>
        <v>3141</v>
      </c>
    </row>
    <row r="56" spans="1:35" x14ac:dyDescent="0.15">
      <c r="A56" s="14" t="s">
        <v>142</v>
      </c>
      <c r="B56" s="12" t="s">
        <v>130</v>
      </c>
      <c r="C56" s="12">
        <f>INT((($A$2*3+$K$2+$O$2-$O$7)*(1+(($V$2-$W$7)/100*2))+($V$2*2))*0.4)</f>
        <v>977</v>
      </c>
      <c r="D56" s="12">
        <f>INT(C56*4.2)</f>
        <v>4103</v>
      </c>
      <c r="E56" s="12">
        <f>INT((($A$2*3+$P$7-$N$2)*(1+(($W$7-$V$2)/100*2))+($W$7*2))*0.4)</f>
        <v>558</v>
      </c>
      <c r="F56" s="12">
        <f>INT(E56*4.2)</f>
        <v>2343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35" x14ac:dyDescent="0.15">
      <c r="A57" s="14" t="s">
        <v>142</v>
      </c>
      <c r="B57" s="12" t="s">
        <v>131</v>
      </c>
      <c r="C57" s="12">
        <f>INT((($A$2*3+$K$2+$O$2-$O$7)*(1+(($V$2-$W$7)/100*2))+($V$2*2))*0.4)</f>
        <v>977</v>
      </c>
      <c r="D57" s="12">
        <f>INT(C57*4.6)</f>
        <v>4494</v>
      </c>
      <c r="E57" s="12">
        <f>INT((($A$2*3+$P$7-$N$2)*(1+(($W$7-$V$2)/100*2))+($W$7*2))*0.4)</f>
        <v>558</v>
      </c>
      <c r="F57" s="12">
        <f>INT(E57*4.6)</f>
        <v>2566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35" x14ac:dyDescent="0.15">
      <c r="A58" s="14" t="s">
        <v>142</v>
      </c>
      <c r="B58" s="12" t="s">
        <v>132</v>
      </c>
      <c r="C58" s="12">
        <f>INT((($A$2*3+$K$2+$O$2-$O$7)*(1+(($V$2-$W$7)/100*2))+($V$2*2))*0.4)</f>
        <v>977</v>
      </c>
      <c r="D58" s="12">
        <f>INT(C58*5)</f>
        <v>4885</v>
      </c>
      <c r="E58" s="12">
        <f>INT((($A$2*3+$P$7-$N$2)*(1+(($W$7-$V$2)/100*2))+($W$7*2))*0.4)</f>
        <v>558</v>
      </c>
      <c r="F58" s="12">
        <f>INT(E58*5)</f>
        <v>2790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5"/>
      <c r="T58" s="15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x14ac:dyDescent="0.15">
      <c r="A59" s="14" t="s">
        <v>144</v>
      </c>
      <c r="B59" s="12" t="s">
        <v>114</v>
      </c>
      <c r="C59" s="12">
        <f>INT(($I$2-$N$8)*(1+(($V$2-$W$8)/100*2))+($V$2*2))</f>
        <v>2479</v>
      </c>
      <c r="D59" s="15">
        <f>C59*2</f>
        <v>4958</v>
      </c>
      <c r="E59" s="12">
        <f>INT(($I$8-$M$2)*(1+(($W$8-$V$2)/100*2))+($W$8*2))</f>
        <v>831</v>
      </c>
      <c r="F59" s="15">
        <f>E59*2</f>
        <v>1662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35" x14ac:dyDescent="0.15">
      <c r="A60" s="14" t="s">
        <v>144</v>
      </c>
      <c r="B60" s="12" t="s">
        <v>115</v>
      </c>
      <c r="C60" s="12">
        <f>INT(($A$2*3.5+$K$2+$O$2-$O$8)*(1+(($V$2-$W$7)/100*2))+($V$2*2))</f>
        <v>2458</v>
      </c>
      <c r="D60" s="15">
        <f>C60*2</f>
        <v>4916</v>
      </c>
      <c r="E60" s="12">
        <f>INT(($A$2*3.5+$P$8-$N$2)*(1+(($W$8-$V$2)/100*2))+($W$8*2))</f>
        <v>1552</v>
      </c>
      <c r="F60" s="15">
        <f>E60*2</f>
        <v>3104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5"/>
      <c r="T60" s="15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x14ac:dyDescent="0.15">
      <c r="A61" s="14" t="s">
        <v>144</v>
      </c>
      <c r="B61" s="12" t="s">
        <v>134</v>
      </c>
      <c r="C61" s="12">
        <f>INT((($A$2*3+$K$2+$O$2-$O$8)*(1+(($V$2-$W$7)/100*2))+($V$2*2))*0.9)</f>
        <v>2135</v>
      </c>
      <c r="D61" s="12">
        <f>INT(C61*1.9)</f>
        <v>4056</v>
      </c>
      <c r="E61" s="12">
        <f>INT((($A$2*3+$P$8-$N$2)*(1+(($W$8-$V$2)/100*2))+($W$8*2))*0.9)</f>
        <v>1320</v>
      </c>
      <c r="F61" s="12">
        <f>INT(E61*1.9)</f>
        <v>2508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35" x14ac:dyDescent="0.15">
      <c r="A62" s="14" t="s">
        <v>144</v>
      </c>
      <c r="B62" s="12" t="s">
        <v>135</v>
      </c>
      <c r="C62" s="12">
        <f>INT((($A$2*3+$K$2+$O$2-$O$8)*(1+(($V$2-$W$7)/100*2))+($V$2*2))*0.8)</f>
        <v>1898</v>
      </c>
      <c r="D62" s="12">
        <f>INT(C62*2.6)</f>
        <v>4934</v>
      </c>
      <c r="E62" s="12">
        <f>INT((($A$2*3+$P$8-$N$2)*(1+(($W$8-$V$2)/100*2))+($W$8*2))*0.8)</f>
        <v>1173</v>
      </c>
      <c r="F62" s="12">
        <f>INT(E62*2.6)</f>
        <v>3049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35" x14ac:dyDescent="0.15">
      <c r="A63" s="14" t="s">
        <v>144</v>
      </c>
      <c r="B63" s="12" t="s">
        <v>136</v>
      </c>
      <c r="C63" s="12">
        <f>INT((($A$2*3+$K$2+$O$2-$O$8)*(1+(($V$2-$W$7)/100*2))+($V$2*2))*0.7)</f>
        <v>1661</v>
      </c>
      <c r="D63" s="12">
        <f>INT(C63*3.1)</f>
        <v>5149</v>
      </c>
      <c r="E63" s="12">
        <f>INT((($A$2*3+$P$8-$N$2)*(1+(($W$8-$V$2)/100*2))+($W$8*2))*0.7)</f>
        <v>1026</v>
      </c>
      <c r="F63" s="12">
        <f>INT(E63*3.1)</f>
        <v>3180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35" x14ac:dyDescent="0.15">
      <c r="A64" s="14" t="s">
        <v>144</v>
      </c>
      <c r="B64" s="12" t="s">
        <v>137</v>
      </c>
      <c r="C64" s="12">
        <f>INT((($A$2*3+$K$2+$O$2-$O$8)*(1+(($V$2-$W$7)/100*2))+($V$2*2))*0.6)</f>
        <v>1423</v>
      </c>
      <c r="D64" s="12">
        <f>INT(C64*3.4)</f>
        <v>4838</v>
      </c>
      <c r="E64" s="12">
        <f>INT((($A$2*3+$P$8-$N$2)*(1+(($W$8-$V$2)/100*2))+($W$8*2))*0.6)</f>
        <v>880</v>
      </c>
      <c r="F64" s="12">
        <f>INT(E64*3.4)</f>
        <v>2992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35" x14ac:dyDescent="0.15">
      <c r="A65" s="14" t="s">
        <v>144</v>
      </c>
      <c r="B65" s="12" t="s">
        <v>138</v>
      </c>
      <c r="C65" s="12">
        <f>INT((($A$2*3+$K$2+$O$2-$O$8)*(1+(($V$2-$W$7)/100*2))+($V$2*2))*0.6)</f>
        <v>1423</v>
      </c>
      <c r="D65" s="12">
        <f>INT(C65*3.5)</f>
        <v>4980</v>
      </c>
      <c r="E65" s="12">
        <f>INT((($A$2*3+$P$8-$N$2)*(1+(($W$8-$V$2)/100*2))+($W$8*2))*0.6)</f>
        <v>880</v>
      </c>
      <c r="F65" s="12">
        <f>INT(E65*3.5)</f>
        <v>3080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35" x14ac:dyDescent="0.15">
      <c r="A66" s="14" t="s">
        <v>144</v>
      </c>
      <c r="B66" s="12" t="s">
        <v>123</v>
      </c>
      <c r="C66" s="12">
        <f>INT((($A$2*3+$K$2+$O$2-$O$8)*(1+(($V$2-$W$7)/100*2))+($V$2*2))*0.9)</f>
        <v>2135</v>
      </c>
      <c r="D66" s="12">
        <f>INT(C66*1.9)</f>
        <v>4056</v>
      </c>
      <c r="E66" s="12">
        <f>INT((($A$2*3+$P$8-$N$2)*(1+(($W$8-$V$2)/100*2))+($W$8*2))*0.9)</f>
        <v>1320</v>
      </c>
      <c r="F66" s="12">
        <f>INT(E66*1.9)</f>
        <v>2508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35" x14ac:dyDescent="0.15">
      <c r="A67" s="14" t="s">
        <v>144</v>
      </c>
      <c r="B67" s="12" t="s">
        <v>124</v>
      </c>
      <c r="C67" s="12">
        <f>INT((($A$2*3+$K$2+$O$2-$O$8)*(1+(($V$2-$W$7)/100*2))+($V$2*2))*0.8)</f>
        <v>1898</v>
      </c>
      <c r="D67" s="12">
        <f>INT(C67*2.6)</f>
        <v>4934</v>
      </c>
      <c r="E67" s="12">
        <f>INT((($A$2*3+$P$8-$N$2)*(1+(($W$8-$V$2)/100*2))+($W$8*2))*0.8)</f>
        <v>1173</v>
      </c>
      <c r="F67" s="12">
        <f>INT(E67*2.6)</f>
        <v>3049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35" x14ac:dyDescent="0.15">
      <c r="A68" s="14" t="s">
        <v>144</v>
      </c>
      <c r="B68" s="12" t="s">
        <v>125</v>
      </c>
      <c r="C68" s="12">
        <f>INT((($A$2*3+$K$2+$O$2-$O$8)*(1+(($V$2-$W$7)/100*2))+($V$2*2))*0.7)</f>
        <v>1661</v>
      </c>
      <c r="D68" s="12">
        <f>INT(C68*3.1)</f>
        <v>5149</v>
      </c>
      <c r="E68" s="12">
        <f>INT((($A$2*3+$P$8-$N$2)*(1+(($W$8-$V$2)/100*2))+($W$8*2))*0.7)</f>
        <v>1026</v>
      </c>
      <c r="F68" s="12">
        <f>INT(E68*3.1)</f>
        <v>3180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35" x14ac:dyDescent="0.15">
      <c r="A69" s="14" t="s">
        <v>144</v>
      </c>
      <c r="B69" s="12" t="s">
        <v>126</v>
      </c>
      <c r="C69" s="12">
        <f>INT((($A$2*3+$K$2+$O$2-$O$8)*(1+(($V$2-$W$7)/100*2))+($V$2*2))*0.6)</f>
        <v>1423</v>
      </c>
      <c r="D69" s="12">
        <f>INT(C69*3.4)</f>
        <v>4838</v>
      </c>
      <c r="E69" s="12">
        <f>INT((($A$2*3+$P$8-$N$2)*(1+(($W$8-$V$2)/100*2))+($W$8*2))*0.6)</f>
        <v>880</v>
      </c>
      <c r="F69" s="12">
        <f>INT(E69*3.4)</f>
        <v>2992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x14ac:dyDescent="0.15">
      <c r="A70" s="14" t="s">
        <v>144</v>
      </c>
      <c r="B70" s="12" t="s">
        <v>127</v>
      </c>
      <c r="C70" s="12">
        <f>INT((($A$2*3+$K$2+$O$2-$O$8)*(1+(($V$2-$W$7)/100*2))+($V$2*2))*0.5)</f>
        <v>1186</v>
      </c>
      <c r="D70" s="12">
        <f>INT(C70*3.5)</f>
        <v>4151</v>
      </c>
      <c r="E70" s="12">
        <f>INT((($A$2*3+$P$8-$N$2)*(1+(($W$8-$V$2)/100*2))+($W$8*2))*0.5)</f>
        <v>733</v>
      </c>
      <c r="F70" s="12">
        <f>INT(E70*3.5)</f>
        <v>2565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35" x14ac:dyDescent="0.15">
      <c r="A71" s="14" t="s">
        <v>144</v>
      </c>
      <c r="B71" s="12" t="s">
        <v>128</v>
      </c>
      <c r="C71" s="12">
        <f>INT((($A$2*3+$K$2+$O$2-$O$8)*(1+(($V$2-$W$7)/100*2))+($V$2*2))*0.5)</f>
        <v>1186</v>
      </c>
      <c r="D71" s="12">
        <f>INT(C71*4)</f>
        <v>4744</v>
      </c>
      <c r="E71" s="12">
        <f>INT((($A$2*3+$P$8-$N$2)*(1+(($W$8-$V$2)/100*2))+($W$8*2))*0.5)</f>
        <v>733</v>
      </c>
      <c r="F71" s="12">
        <f>INT(E71*4)</f>
        <v>2932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35" x14ac:dyDescent="0.15">
      <c r="A72" s="14" t="s">
        <v>144</v>
      </c>
      <c r="B72" s="12" t="s">
        <v>129</v>
      </c>
      <c r="C72" s="12">
        <f>INT((($A$2*3+$K$2+$O$2-$O$8)*(1+(($V$2-$W$7)/100*2))+($V$2*2))*0.5)</f>
        <v>1186</v>
      </c>
      <c r="D72" s="12">
        <f>INT(C72*4.5)</f>
        <v>5337</v>
      </c>
      <c r="E72" s="12">
        <f>INT((($A$2*3+$P$8-$N$2)*(1+(($W$8-$V$2)/100*2))+($W$8*2))*0.5)</f>
        <v>733</v>
      </c>
      <c r="F72" s="12">
        <f>INT(E72*4.5)</f>
        <v>3298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35" x14ac:dyDescent="0.15">
      <c r="A73" s="14" t="s">
        <v>144</v>
      </c>
      <c r="B73" s="12" t="s">
        <v>130</v>
      </c>
      <c r="C73" s="12">
        <f>INT((($A$2*3+$K$2+$O$2-$O$8)*(1+(($V$2-$W$7)/100*2))+($V$2*2))*0.4)</f>
        <v>949</v>
      </c>
      <c r="D73" s="12">
        <f>INT(C73*4.2)</f>
        <v>3985</v>
      </c>
      <c r="E73" s="12">
        <f>INT((($A$2*3+$P$8-$N$2)*(1+(($W$8-$V$2)/100*2))+($W$8*2))*0.4)</f>
        <v>586</v>
      </c>
      <c r="F73" s="12">
        <f>INT(E73*4.2)</f>
        <v>2461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1:35" x14ac:dyDescent="0.15">
      <c r="A74" s="14" t="s">
        <v>144</v>
      </c>
      <c r="B74" s="12" t="s">
        <v>131</v>
      </c>
      <c r="C74" s="12">
        <f>INT((($A$2*3+$K$2+$O$2-$O$8)*(1+(($V$2-$W$7)/100*2))+($V$2*2))*0.4)</f>
        <v>949</v>
      </c>
      <c r="D74" s="12">
        <f>INT(C74*4.6)</f>
        <v>4365</v>
      </c>
      <c r="E74" s="12">
        <f>INT((($A$2*3+$P$8-$N$2)*(1+(($W$8-$V$2)/100*2))+($W$8*2))*0.4)</f>
        <v>586</v>
      </c>
      <c r="F74" s="12">
        <f>INT(E74*4.6)</f>
        <v>2695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35" x14ac:dyDescent="0.15">
      <c r="A75" s="14" t="s">
        <v>144</v>
      </c>
      <c r="B75" s="12" t="s">
        <v>132</v>
      </c>
      <c r="C75" s="12">
        <f>INT((($A$2*3+$K$2+$O$2-$O$8)*(1+(($V$2-$W$7)/100*2))+($V$2*2))*0.4)</f>
        <v>949</v>
      </c>
      <c r="D75" s="12">
        <f>INT(C75*5)</f>
        <v>4745</v>
      </c>
      <c r="E75" s="12">
        <f>INT((($A$2*3+$P$8-$N$2)*(1+(($W$8-$V$2)/100*2))+($W$8*2))*0.4)</f>
        <v>586</v>
      </c>
      <c r="F75" s="12">
        <f>INT(E75*5)</f>
        <v>2930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35" x14ac:dyDescent="0.15">
      <c r="A76" s="14" t="s">
        <v>145</v>
      </c>
      <c r="B76" s="12" t="s">
        <v>114</v>
      </c>
      <c r="C76" s="12">
        <f>INT(($I$2-$N$7)*(1+(($V$2-$W$7/2)/100*2))+($V$2*2))</f>
        <v>3316</v>
      </c>
      <c r="D76" s="15">
        <f>C76*2</f>
        <v>6632</v>
      </c>
      <c r="E76" s="12">
        <f>INT(($I$7-$M$2)*(1+(($W$7-$V$2*0.5)/100*2))+($W$7*2))</f>
        <v>718</v>
      </c>
      <c r="F76" s="15">
        <f>E76*2</f>
        <v>1436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1:35" x14ac:dyDescent="0.15">
      <c r="A77" s="14" t="s">
        <v>145</v>
      </c>
      <c r="B77" s="12" t="s">
        <v>115</v>
      </c>
      <c r="C77" s="12">
        <f>INT(($A$2*3.5+$K$2+$O$2-$O$7)*(1+(($V$2-$W$7/2)/100*2))+($V$2*2))</f>
        <v>3148</v>
      </c>
      <c r="D77" s="15">
        <f>C77*2</f>
        <v>6296</v>
      </c>
      <c r="E77" s="12">
        <f>INT(($A$2*3.5+$P$7-$N$2)*(1+(($W$7-$V$2*0.5)/100*2))+($W$7*2))</f>
        <v>1838</v>
      </c>
      <c r="F77" s="15">
        <f>E77*2</f>
        <v>3676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x14ac:dyDescent="0.15">
      <c r="A78" s="14" t="s">
        <v>145</v>
      </c>
      <c r="B78" s="12" t="s">
        <v>134</v>
      </c>
      <c r="C78" s="12">
        <f>INT((($A$2*3+$K$2+$O$2-$O$7)*(1+(($V$2-$W$7/2)/100*2))+($V$2*2))*0.9)</f>
        <v>2738</v>
      </c>
      <c r="D78" s="12">
        <f>INT(C78*1.9)</f>
        <v>5202</v>
      </c>
      <c r="E78" s="12">
        <f>INT((($A$2*3+$P$7-$N$2)*(1+(($W$7-$V$2*0.5)/100*2))+($W$7*2))*0.9)</f>
        <v>1559</v>
      </c>
      <c r="F78" s="12">
        <f>INT(E78*1.9)</f>
        <v>2962</v>
      </c>
      <c r="G78" s="12"/>
      <c r="H78" s="12"/>
      <c r="I78" s="12"/>
      <c r="J78" s="14"/>
      <c r="K78" s="14"/>
      <c r="L78" s="14"/>
      <c r="M78" s="14"/>
      <c r="N78" s="14"/>
      <c r="O78" s="14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x14ac:dyDescent="0.15">
      <c r="A79" s="14" t="s">
        <v>145</v>
      </c>
      <c r="B79" s="12" t="s">
        <v>135</v>
      </c>
      <c r="C79" s="12">
        <f>INT((($A$2*3+$K$2+$O$2-$O$7)*(1+(($V$2-$W$7/2)/100*2))+($V$2*2))*0.8)</f>
        <v>2434</v>
      </c>
      <c r="D79" s="12">
        <f>INT(C79*2.6)</f>
        <v>6328</v>
      </c>
      <c r="E79" s="12">
        <f>INT((($A$2*3+$P$7-$N$2)*(1+(($W$7-$V$2*0.5)/100*2))+($W$7*2))*0.8)</f>
        <v>1386</v>
      </c>
      <c r="F79" s="12">
        <f>INT(E79*2.6)</f>
        <v>3603</v>
      </c>
      <c r="G79" s="12"/>
      <c r="H79" s="12"/>
      <c r="I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x14ac:dyDescent="0.15">
      <c r="A80" s="14" t="s">
        <v>145</v>
      </c>
      <c r="B80" s="12" t="s">
        <v>136</v>
      </c>
      <c r="C80" s="12">
        <f>INT((($A$2*3+$K$2+$O$2-$O$7)*(1+(($V$2-$W$7/2)/100*2))+($V$2*2))*0.7)</f>
        <v>2129</v>
      </c>
      <c r="D80" s="12">
        <f>INT(C80*3.1)</f>
        <v>6599</v>
      </c>
      <c r="E80" s="12">
        <f>INT((($A$2*3+$P$7-$N$2)*(1+(($W$7-$V$2*0.5)/100*2))+($W$7*2))*0.7)</f>
        <v>1212</v>
      </c>
      <c r="F80" s="12">
        <f>INT(E80*3.1)</f>
        <v>3757</v>
      </c>
      <c r="G80" s="12"/>
      <c r="H80" s="12"/>
      <c r="I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x14ac:dyDescent="0.15">
      <c r="A81" s="14" t="s">
        <v>145</v>
      </c>
      <c r="B81" s="12" t="s">
        <v>137</v>
      </c>
      <c r="C81" s="12">
        <f>INT((($A$2*3+$K$2+$O$2-$O$7)*(1+(($V$2-$W$7/2)/100*2))+($V$2*2))*0.6)</f>
        <v>1825</v>
      </c>
      <c r="D81" s="12">
        <f>INT(C81*3.4)</f>
        <v>6205</v>
      </c>
      <c r="E81" s="12">
        <f>INT((($A$2*3+$P$7-$N$2)*(1+(($W$7-$V$2*0.5)/100*2))+($W$7*2))*0.6)</f>
        <v>1039</v>
      </c>
      <c r="F81" s="12">
        <f>INT(E81*3.4)</f>
        <v>3532</v>
      </c>
      <c r="G81" s="12"/>
      <c r="H81" s="12"/>
      <c r="I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x14ac:dyDescent="0.15">
      <c r="A82" s="14" t="s">
        <v>145</v>
      </c>
      <c r="B82" s="12" t="s">
        <v>138</v>
      </c>
      <c r="C82" s="12">
        <f>INT((($A$2*3+$K$2+$O$2-$O$7)*(1+(($V$2-$W$7/2)/100*2))+($V$2*2))*0.6)</f>
        <v>1825</v>
      </c>
      <c r="D82" s="12">
        <f>INT(C82*3.5)</f>
        <v>6387</v>
      </c>
      <c r="E82" s="12">
        <f>INT((($A$2*3+$P$7-$N$2)*(1+(($W$7-$V$2*0.5)/100*2))+($W$7*2))*0.6)</f>
        <v>1039</v>
      </c>
      <c r="F82" s="12">
        <f>INT(E82*3.5)</f>
        <v>3636</v>
      </c>
      <c r="G82" s="12"/>
      <c r="H82" s="12"/>
      <c r="I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x14ac:dyDescent="0.15">
      <c r="A83" s="14" t="s">
        <v>145</v>
      </c>
      <c r="B83" s="12" t="s">
        <v>123</v>
      </c>
      <c r="C83" s="12">
        <f>INT((($A$2*3+$K$2+$O$2-$O$7)*(1+(($V$2-$W$7/2)/100*2))+($V$2*2))*0.9)</f>
        <v>2738</v>
      </c>
      <c r="D83" s="12">
        <f>INT(C83*1.9)</f>
        <v>5202</v>
      </c>
      <c r="E83" s="12">
        <f>INT((($A$2*3+$P$7-$N$2)*(1+(($W$7-$V$2*0.5)/100*2))+($W$7*2))*0.9)</f>
        <v>1559</v>
      </c>
      <c r="F83" s="12">
        <f>INT(E83*1.9)</f>
        <v>2962</v>
      </c>
      <c r="G83" s="12"/>
      <c r="H83" s="12"/>
      <c r="I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x14ac:dyDescent="0.15">
      <c r="A84" s="14" t="s">
        <v>145</v>
      </c>
      <c r="B84" s="12" t="s">
        <v>124</v>
      </c>
      <c r="C84" s="12">
        <f>INT((($A$2*3+$K$2+$O$2-$O$7)*(1+(($V$2-$W$7/2)/100*2))+($V$2*2))*0.8)</f>
        <v>2434</v>
      </c>
      <c r="D84" s="12">
        <f>INT(C84*2.6)</f>
        <v>6328</v>
      </c>
      <c r="E84" s="12">
        <f>INT((($A$2*3+$P$7-$N$2)*(1+(($W$7-$V$2*0.5)/100*2))+($W$7*2))*0.8)</f>
        <v>1386</v>
      </c>
      <c r="F84" s="12">
        <f>INT(E84*2.6)</f>
        <v>3603</v>
      </c>
      <c r="G84" s="12"/>
      <c r="H84" s="12"/>
      <c r="I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x14ac:dyDescent="0.15">
      <c r="A85" s="14" t="s">
        <v>145</v>
      </c>
      <c r="B85" s="12" t="s">
        <v>125</v>
      </c>
      <c r="C85" s="12">
        <f>INT((($A$2*3+$K$2+$O$2-$O$7)*(1+(($V$2-$W$7/2)/100*2))+($V$2*2))*0.7)</f>
        <v>2129</v>
      </c>
      <c r="D85" s="12">
        <f>INT(C85*3.1)</f>
        <v>6599</v>
      </c>
      <c r="E85" s="12">
        <f>INT((($A$2*3+$P$7-$N$2)*(1+(($W$7-$V$2*0.5)/100*2))+($W$7*2))*0.7)</f>
        <v>1212</v>
      </c>
      <c r="F85" s="12">
        <f>INT(E85*3.1)</f>
        <v>3757</v>
      </c>
      <c r="G85" s="12"/>
      <c r="H85" s="12"/>
      <c r="I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x14ac:dyDescent="0.15">
      <c r="A86" s="14" t="s">
        <v>145</v>
      </c>
      <c r="B86" s="12" t="s">
        <v>126</v>
      </c>
      <c r="C86" s="12">
        <f>INT((($A$2*3+$K$2+$O$2-$O$7)*(1+(($V$2-$W$7/2)/100*2))+($V$2*2))*0.6)</f>
        <v>1825</v>
      </c>
      <c r="D86" s="12">
        <f>INT(C86*3.4)</f>
        <v>6205</v>
      </c>
      <c r="E86" s="12">
        <f>INT((($A$2*3+$P$7-$N$2)*(1+(($W$7-$V$2*0.5)/100*2))+($W$7*2))*0.6)</f>
        <v>1039</v>
      </c>
      <c r="F86" s="12">
        <f>INT(E86*3.4)</f>
        <v>3532</v>
      </c>
      <c r="G86" s="12"/>
      <c r="H86" s="12"/>
      <c r="I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x14ac:dyDescent="0.15">
      <c r="A87" s="14" t="s">
        <v>145</v>
      </c>
      <c r="B87" s="12" t="s">
        <v>127</v>
      </c>
      <c r="C87" s="12">
        <f>INT((($A$2*3+$K$2+$O$2-$O$7)*(1+(($V$2-$W$7/2)/100*2))+($V$2*2))*0.5)</f>
        <v>1521</v>
      </c>
      <c r="D87" s="12">
        <f>INT(C87*3.5)</f>
        <v>5323</v>
      </c>
      <c r="E87" s="12">
        <f>INT((($A$2*3+$P$7-$N$2)*(1+(($W$7-$V$2*0.5)/100*2))+($W$7*2))*0.5)</f>
        <v>866</v>
      </c>
      <c r="F87" s="12">
        <f>INT(E87*3.5)</f>
        <v>3031</v>
      </c>
      <c r="G87" s="12"/>
      <c r="H87" s="12"/>
      <c r="I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x14ac:dyDescent="0.15">
      <c r="A88" s="14" t="s">
        <v>145</v>
      </c>
      <c r="B88" s="12" t="s">
        <v>128</v>
      </c>
      <c r="C88" s="12">
        <f>INT((($A$2*3+$K$2+$O$2-$O$7)*(1+(($V$2-$W$7/2)/100*2))+($V$2*2))*0.5)</f>
        <v>1521</v>
      </c>
      <c r="D88" s="12">
        <f>INT(C88*4)</f>
        <v>6084</v>
      </c>
      <c r="E88" s="12">
        <f>INT((($A$2*3+$P$7-$N$2)*(1+(($W$7-$V$2*0.5)/100*2))+($W$7*2))*0.5)</f>
        <v>866</v>
      </c>
      <c r="F88" s="12">
        <f>INT(E88*4)</f>
        <v>3464</v>
      </c>
      <c r="G88" s="12"/>
      <c r="H88" s="12"/>
      <c r="I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x14ac:dyDescent="0.15">
      <c r="A89" s="14" t="s">
        <v>145</v>
      </c>
      <c r="B89" s="12" t="s">
        <v>129</v>
      </c>
      <c r="C89" s="12">
        <f>INT((($A$2*3+$K$2+$O$2-$O$7)*(1+(($V$2-$W$7/2)/100*2))+($V$2*2))*0.5)</f>
        <v>1521</v>
      </c>
      <c r="D89" s="12">
        <f>INT(C89*4.5)</f>
        <v>6844</v>
      </c>
      <c r="E89" s="12">
        <f>INT((($A$2*3+$P$7-$N$2)*(1+(($W$7-$V$2*0.5)/100*2))+($W$7*2))*0.5)</f>
        <v>866</v>
      </c>
      <c r="F89" s="12">
        <f>INT(E89*4.5)</f>
        <v>3897</v>
      </c>
      <c r="G89" s="12"/>
      <c r="H89" s="12"/>
      <c r="I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x14ac:dyDescent="0.15">
      <c r="A90" s="14" t="s">
        <v>145</v>
      </c>
      <c r="B90" s="12" t="s">
        <v>130</v>
      </c>
      <c r="C90" s="12">
        <f>INT((($A$2*3+$K$2+$O$2-$O$7)*(1+(($V$2-$W$7/2)/100*2))+($V$2*2))*0.4)</f>
        <v>1217</v>
      </c>
      <c r="D90" s="12">
        <f>INT(C90*4.2)</f>
        <v>5111</v>
      </c>
      <c r="E90" s="12">
        <f>INT((($A$2*3+$P$7-$N$2)*(1+(($W$7-$V$2*0.5)/100*2))+($W$7*2))*0.4)</f>
        <v>693</v>
      </c>
      <c r="F90" s="12">
        <f>INT(E90*4.2)</f>
        <v>2910</v>
      </c>
      <c r="G90" s="12"/>
      <c r="H90" s="12"/>
      <c r="I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x14ac:dyDescent="0.15">
      <c r="A91" s="14" t="s">
        <v>145</v>
      </c>
      <c r="B91" s="12" t="s">
        <v>131</v>
      </c>
      <c r="C91" s="12">
        <f>INT((($A$2*3+$K$2+$O$2-$O$7)*(1+(($V$2-$W$7/2)/100*2))+($V$2*2))*0.4)</f>
        <v>1217</v>
      </c>
      <c r="D91" s="12">
        <f>INT(C91*4.6)</f>
        <v>5598</v>
      </c>
      <c r="E91" s="12">
        <f>INT((($A$2*3+$P$7-$N$2)*(1+(($W$7-$V$2*0.5)/100*2))+($W$7*2))*0.4)</f>
        <v>693</v>
      </c>
      <c r="F91" s="12">
        <f>INT(E91*4.6)</f>
        <v>3187</v>
      </c>
      <c r="G91" s="12"/>
      <c r="H91" s="12"/>
      <c r="I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x14ac:dyDescent="0.15">
      <c r="A92" s="14" t="s">
        <v>145</v>
      </c>
      <c r="B92" s="12" t="s">
        <v>132</v>
      </c>
      <c r="C92" s="12">
        <f>INT((($A$2*3+$K$2+$O$2-$O$7)*(1+(($V$2-$W$7/2)/100*2))+($V$2*2))*0.4)</f>
        <v>1217</v>
      </c>
      <c r="D92" s="12">
        <f>INT(C92*5)</f>
        <v>6085</v>
      </c>
      <c r="E92" s="12">
        <f>INT((($A$2*3+$P$7-$N$2)*(1+(($W$7-$V$2*0.5)/100*2))+($W$7*2))*0.4)</f>
        <v>693</v>
      </c>
      <c r="F92" s="12">
        <f>INT(E92*5)</f>
        <v>3465</v>
      </c>
      <c r="G92" s="12"/>
      <c r="H92" s="12"/>
      <c r="I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x14ac:dyDescent="0.15">
      <c r="A93" s="14" t="s">
        <v>146</v>
      </c>
      <c r="B93" s="12" t="s">
        <v>114</v>
      </c>
      <c r="C93" s="12">
        <f>INT(($I$2-$N$8)*(1+(($V$2-$W$8/2)/100*2))+($V$2*2))</f>
        <v>3086</v>
      </c>
      <c r="D93" s="15">
        <f>C93*2</f>
        <v>6172</v>
      </c>
      <c r="E93" s="12">
        <f>INT(($I$8-$M$2)*(1+(($W$8-$V$2*0.5)/100*2))+($W$8*2))</f>
        <v>1026</v>
      </c>
      <c r="F93" s="15">
        <f>E93*2</f>
        <v>2052</v>
      </c>
      <c r="G93" s="12"/>
      <c r="H93" s="12"/>
      <c r="I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x14ac:dyDescent="0.15">
      <c r="A94" s="14" t="s">
        <v>146</v>
      </c>
      <c r="B94" s="12" t="s">
        <v>115</v>
      </c>
      <c r="C94" s="12">
        <f>INT(($A$2*3.5+$K$2+$O$2-$O$8)*(1+(($V$2-$W$7/2)/100*2))+($V$2*2))</f>
        <v>3060</v>
      </c>
      <c r="D94" s="15">
        <f>C94*2</f>
        <v>6120</v>
      </c>
      <c r="E94" s="12">
        <f>INT(($A$2*3.5+$P$8-$N$2)*(1+(($W$8-$V$2*0.5)/100*2))+($W$8*2))</f>
        <v>1927</v>
      </c>
      <c r="F94" s="15">
        <f>E94*2</f>
        <v>3854</v>
      </c>
      <c r="G94" s="12"/>
      <c r="H94" s="12"/>
      <c r="I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x14ac:dyDescent="0.15">
      <c r="A95" s="14" t="s">
        <v>146</v>
      </c>
      <c r="B95" s="12" t="s">
        <v>134</v>
      </c>
      <c r="C95" s="12">
        <f>INT((($A$2*3+$K$2+$O$2-$O$8)*(1+(($V$2-$W$7/2)/100*2))+($V$2*2))*0.9)</f>
        <v>2658</v>
      </c>
      <c r="D95" s="12">
        <f>INT(C95*1.9)</f>
        <v>5050</v>
      </c>
      <c r="E95" s="12">
        <f>INT((($A$2*3+$P$8-$N$2)*(1+(($W$8-$V$2*0.5)/100*2))+($W$8*2))*0.9)</f>
        <v>1639</v>
      </c>
      <c r="F95" s="12">
        <f>INT(E95*1.9)</f>
        <v>3114</v>
      </c>
      <c r="G95" s="12"/>
      <c r="H95" s="12"/>
      <c r="I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x14ac:dyDescent="0.15">
      <c r="A96" s="14" t="s">
        <v>146</v>
      </c>
      <c r="B96" s="12" t="s">
        <v>135</v>
      </c>
      <c r="C96" s="12">
        <f>INT((($A$2*3+$K$2+$O$2-$O$8)*(1+(($V$2-$W$7/2)/100*2))+($V$2*2))*0.8)</f>
        <v>2363</v>
      </c>
      <c r="D96" s="12">
        <f>INT(C96*2.6)</f>
        <v>6143</v>
      </c>
      <c r="E96" s="12">
        <f>INT((($A$2*3+$P$8-$N$2)*(1+(($W$8-$V$2*0.5)/100*2))+($W$8*2))*0.8)</f>
        <v>1457</v>
      </c>
      <c r="F96" s="12">
        <f>INT(E96*2.6)</f>
        <v>3788</v>
      </c>
      <c r="G96" s="12"/>
      <c r="H96" s="12"/>
      <c r="I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x14ac:dyDescent="0.15">
      <c r="A97" s="14" t="s">
        <v>146</v>
      </c>
      <c r="B97" s="12" t="s">
        <v>136</v>
      </c>
      <c r="C97" s="12">
        <f>INT((($A$2*3+$K$2+$O$2-$O$8)*(1+(($V$2-$W$7/2)/100*2))+($V$2*2))*0.7)</f>
        <v>2067</v>
      </c>
      <c r="D97" s="12">
        <f>INT(C97*3.1)</f>
        <v>6407</v>
      </c>
      <c r="E97" s="12">
        <f>INT((($A$2*3+$P$8-$N$2)*(1+(($W$8-$V$2*0.5)/100*2))+($W$8*2))*0.7)</f>
        <v>1274</v>
      </c>
      <c r="F97" s="12">
        <f>INT(E97*3.1)</f>
        <v>3949</v>
      </c>
      <c r="G97" s="12"/>
      <c r="H97" s="12"/>
      <c r="I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x14ac:dyDescent="0.15">
      <c r="A98" s="14" t="s">
        <v>146</v>
      </c>
      <c r="B98" s="12" t="s">
        <v>137</v>
      </c>
      <c r="C98" s="12">
        <f>INT((($A$2*3+$K$2+$O$2-$O$8)*(1+(($V$2-$W$7/2)/100*2))+($V$2*2))*0.6)</f>
        <v>1772</v>
      </c>
      <c r="D98" s="12">
        <f>INT(C98*3.4)</f>
        <v>6024</v>
      </c>
      <c r="E98" s="12">
        <f>INT((($A$2*3+$P$8-$N$2)*(1+(($W$8-$V$2*0.5)/100*2))+($W$8*2))*0.6)</f>
        <v>1092</v>
      </c>
      <c r="F98" s="12">
        <f>INT(E98*3.4)</f>
        <v>3712</v>
      </c>
      <c r="G98" s="12"/>
      <c r="H98" s="12"/>
      <c r="I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x14ac:dyDescent="0.15">
      <c r="A99" s="14" t="s">
        <v>146</v>
      </c>
      <c r="B99" s="12" t="s">
        <v>138</v>
      </c>
      <c r="C99" s="12">
        <f>INT((($A$2*3+$K$2+$O$2-$O$8)*(1+(($V$2-$W$7/2)/100*2))+($V$2*2))*0.6)</f>
        <v>1772</v>
      </c>
      <c r="D99" s="12">
        <f>INT(C99*3.5)</f>
        <v>6202</v>
      </c>
      <c r="E99" s="12">
        <f>INT((($A$2*3+$P$8-$N$2)*(1+(($W$8-$V$2*0.5)/100*2))+($W$8*2))*0.6)</f>
        <v>1092</v>
      </c>
      <c r="F99" s="12">
        <f>INT(E99*3.5)</f>
        <v>3822</v>
      </c>
      <c r="G99" s="12"/>
      <c r="H99" s="12"/>
      <c r="I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x14ac:dyDescent="0.15">
      <c r="A100" s="14" t="s">
        <v>146</v>
      </c>
      <c r="B100" s="12" t="s">
        <v>123</v>
      </c>
      <c r="C100" s="12">
        <f>INT((($A$2*3+$K$2+$O$2-$O$8)*(1+(($V$2-$W$7/2)/100*2))+($V$2*2))*0.9)</f>
        <v>2658</v>
      </c>
      <c r="D100" s="12">
        <f>INT(C100*1.9)</f>
        <v>5050</v>
      </c>
      <c r="E100" s="12">
        <f>INT((($A$2*3+$P$8-$N$2)*(1+(($W$8-$V$2*0.5)/100*2))+($W$8*2))*0.9)</f>
        <v>1639</v>
      </c>
      <c r="F100" s="12">
        <f>INT(E100*1.9)</f>
        <v>3114</v>
      </c>
      <c r="G100" s="12"/>
      <c r="H100" s="12"/>
      <c r="I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x14ac:dyDescent="0.15">
      <c r="A101" s="14" t="s">
        <v>146</v>
      </c>
      <c r="B101" s="12" t="s">
        <v>124</v>
      </c>
      <c r="C101" s="12">
        <f>INT((($A$2*3+$K$2+$O$2-$O$8)*(1+(($V$2-$W$7/2)/100*2))+($V$2*2))*0.8)</f>
        <v>2363</v>
      </c>
      <c r="D101" s="12">
        <f>INT(C101*2.6)</f>
        <v>6143</v>
      </c>
      <c r="E101" s="12">
        <f>INT((($A$2*3+$P$8-$N$2)*(1+(($W$8-$V$2*0.5)/100*2))+($W$8*2))*0.8)</f>
        <v>1457</v>
      </c>
      <c r="F101" s="12">
        <f>INT(E101*2.6)</f>
        <v>3788</v>
      </c>
      <c r="G101" s="12"/>
      <c r="H101" s="12"/>
      <c r="I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x14ac:dyDescent="0.15">
      <c r="A102" s="14" t="s">
        <v>146</v>
      </c>
      <c r="B102" s="12" t="s">
        <v>125</v>
      </c>
      <c r="C102" s="12">
        <f>INT((($A$2*3+$K$2+$O$2-$O$8)*(1+(($V$2-$W$7/2)/100*2))+($V$2*2))*0.7)</f>
        <v>2067</v>
      </c>
      <c r="D102" s="12">
        <f>INT(C102*3.1)</f>
        <v>6407</v>
      </c>
      <c r="E102" s="12">
        <f>INT((($A$2*3+$P$8-$N$2)*(1+(($W$8-$V$2*0.5)/100*2))+($W$8*2))*0.7)</f>
        <v>1274</v>
      </c>
      <c r="F102" s="12">
        <f>INT(E102*3.1)</f>
        <v>3949</v>
      </c>
      <c r="G102" s="12"/>
      <c r="H102" s="12"/>
      <c r="I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x14ac:dyDescent="0.15">
      <c r="A103" s="14" t="s">
        <v>146</v>
      </c>
      <c r="B103" s="12" t="s">
        <v>126</v>
      </c>
      <c r="C103" s="12">
        <f>INT((($A$2*3+$K$2+$O$2-$O$8)*(1+(($V$2-$W$7/2)/100*2))+($V$2*2))*0.6)</f>
        <v>1772</v>
      </c>
      <c r="D103" s="12">
        <f>INT(C103*3.4)</f>
        <v>6024</v>
      </c>
      <c r="E103" s="12">
        <f>INT((($A$2*3+$P$8-$N$2)*(1+(($W$8-$V$2*0.5)/100*2))+($W$8*2))*0.6)</f>
        <v>1092</v>
      </c>
      <c r="F103" s="12">
        <f>INT(E103*3.4)</f>
        <v>3712</v>
      </c>
      <c r="G103" s="12"/>
      <c r="H103" s="12"/>
      <c r="I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x14ac:dyDescent="0.15">
      <c r="A104" s="14" t="s">
        <v>146</v>
      </c>
      <c r="B104" s="12" t="s">
        <v>127</v>
      </c>
      <c r="C104" s="12">
        <f>INT((($A$2*3+$K$2+$O$2-$O$8)*(1+(($V$2-$W$7/2)/100*2))+($V$2*2))*0.5)</f>
        <v>1476</v>
      </c>
      <c r="D104" s="12">
        <f>INT(C104*3.5)</f>
        <v>5166</v>
      </c>
      <c r="E104" s="12">
        <f>INT((($A$2*3+$P$8-$N$2)*(1+(($W$8-$V$2*0.5)/100*2))+($W$8*2))*0.5)</f>
        <v>910</v>
      </c>
      <c r="F104" s="12">
        <f>INT(E104*3.5)</f>
        <v>3185</v>
      </c>
      <c r="G104" s="12"/>
      <c r="H104" s="12"/>
      <c r="I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x14ac:dyDescent="0.15">
      <c r="A105" s="14" t="s">
        <v>146</v>
      </c>
      <c r="B105" s="12" t="s">
        <v>128</v>
      </c>
      <c r="C105" s="12">
        <f>INT((($A$2*3+$K$2+$O$2-$O$8)*(1+(($V$2-$W$7/2)/100*2))+($V$2*2))*0.5)</f>
        <v>1476</v>
      </c>
      <c r="D105" s="12">
        <f>INT(C105*4)</f>
        <v>5904</v>
      </c>
      <c r="E105" s="12">
        <f>INT((($A$2*3+$P$8-$N$2)*(1+(($W$8-$V$2*0.5)/100*2))+($W$8*2))*0.5)</f>
        <v>910</v>
      </c>
      <c r="F105" s="12">
        <f>INT(E105*4)</f>
        <v>3640</v>
      </c>
      <c r="G105" s="12"/>
      <c r="H105" s="12"/>
      <c r="I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x14ac:dyDescent="0.15">
      <c r="A106" s="14" t="s">
        <v>146</v>
      </c>
      <c r="B106" s="12" t="s">
        <v>129</v>
      </c>
      <c r="C106" s="12">
        <f>INT((($A$2*3+$K$2+$O$2-$O$8)*(1+(($V$2-$W$7/2)/100*2))+($V$2*2))*0.5)</f>
        <v>1476</v>
      </c>
      <c r="D106" s="12">
        <f>INT(C106*4.5)</f>
        <v>6642</v>
      </c>
      <c r="E106" s="12">
        <f>INT((($A$2*3+$P$8-$N$2)*(1+(($W$8-$V$2*0.5)/100*2))+($W$8*2))*0.5)</f>
        <v>910</v>
      </c>
      <c r="F106" s="12">
        <f>INT(E106*4.5)</f>
        <v>4095</v>
      </c>
      <c r="G106" s="12"/>
      <c r="H106" s="12"/>
      <c r="I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x14ac:dyDescent="0.15">
      <c r="A107" s="14" t="s">
        <v>146</v>
      </c>
      <c r="B107" s="12" t="s">
        <v>130</v>
      </c>
      <c r="C107" s="12">
        <f>INT((($A$2*3+$K$2+$O$2-$O$8)*(1+(($V$2-$W$7/2)/100*2))+($V$2*2))*0.4)</f>
        <v>1181</v>
      </c>
      <c r="D107" s="12">
        <f>INT(C107*4.2)</f>
        <v>4960</v>
      </c>
      <c r="E107" s="12">
        <f>INT((($A$2*3+$P$8-$N$2)*(1+(($W$8-$V$2*0.5)/100*2))+($W$8*2))*0.4)</f>
        <v>728</v>
      </c>
      <c r="F107" s="12">
        <f>INT(E107*4.2)</f>
        <v>3057</v>
      </c>
      <c r="G107" s="12"/>
      <c r="H107" s="12"/>
      <c r="I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x14ac:dyDescent="0.15">
      <c r="A108" s="14" t="s">
        <v>146</v>
      </c>
      <c r="B108" s="12" t="s">
        <v>131</v>
      </c>
      <c r="C108" s="12">
        <f>INT((($A$2*3+$K$2+$O$2-$O$8)*(1+(($V$2-$W$7/2)/100*2))+($V$2*2))*0.4)</f>
        <v>1181</v>
      </c>
      <c r="D108" s="12">
        <f>INT(C108*4.6)</f>
        <v>5432</v>
      </c>
      <c r="E108" s="12">
        <f>INT((($A$2*3+$P$8-$N$2)*(1+(($W$8-$V$2*0.5)/100*2))+($W$8*2))*0.4)</f>
        <v>728</v>
      </c>
      <c r="F108" s="12">
        <f>INT(E108*4.6)</f>
        <v>3348</v>
      </c>
      <c r="G108" s="12"/>
      <c r="H108" s="12"/>
      <c r="I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x14ac:dyDescent="0.15">
      <c r="A109" s="14" t="s">
        <v>146</v>
      </c>
      <c r="B109" s="12" t="s">
        <v>132</v>
      </c>
      <c r="C109" s="12">
        <f>INT((($A$2*3+$K$2+$O$2-$O$8)*(1+(($V$2-$W$7/2)/100*2))+($V$2*2))*0.4)</f>
        <v>1181</v>
      </c>
      <c r="D109" s="12">
        <f>INT(C109*5)</f>
        <v>5905</v>
      </c>
      <c r="E109" s="12">
        <f>INT((($A$2*3+$P$8-$N$2)*(1+(($W$8-$V$2*0.5)/100*2))+($W$8*2))*0.4)</f>
        <v>728</v>
      </c>
      <c r="F109" s="12">
        <f>INT(E109*5)</f>
        <v>3640</v>
      </c>
      <c r="G109" s="12"/>
      <c r="H109" s="12"/>
      <c r="I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x14ac:dyDescent="0.15">
      <c r="A110" s="14" t="s">
        <v>147</v>
      </c>
      <c r="B110" s="12" t="s">
        <v>114</v>
      </c>
      <c r="C110" s="12">
        <f>INT(($I$2-$N$7)*(1+(($V$2-$W$7*0)/100*2))+($V$2*2))</f>
        <v>3969</v>
      </c>
      <c r="D110" s="15">
        <f>C110*2</f>
        <v>7938</v>
      </c>
      <c r="E110" s="12">
        <f>INT(($I$7-$M$2)*(1+(($W$7-$V$2*0)/100*2))+($W$7*2))</f>
        <v>852</v>
      </c>
      <c r="F110" s="15">
        <f>E110*2</f>
        <v>1704</v>
      </c>
      <c r="G110" s="12"/>
      <c r="H110" s="12"/>
      <c r="I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x14ac:dyDescent="0.15">
      <c r="A111" s="14" t="s">
        <v>147</v>
      </c>
      <c r="B111" s="12" t="s">
        <v>115</v>
      </c>
      <c r="C111" s="12">
        <f>INT(($A$2*3.5+$K$2+$O$2-$O$7)*(1+(($V$2-$W$7*0)/100*2))+($V$2*2))</f>
        <v>3768</v>
      </c>
      <c r="D111" s="15">
        <f>C111*2</f>
        <v>7536</v>
      </c>
      <c r="E111" s="12">
        <f>INT(($A$2*3.5+$P$7-$N$2)*(1+(($W$7-$V$2*0)/100*2))+($W$7*2))</f>
        <v>2196</v>
      </c>
      <c r="F111" s="15">
        <f>E111*2</f>
        <v>4392</v>
      </c>
      <c r="G111" s="12"/>
      <c r="H111" s="12"/>
      <c r="I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x14ac:dyDescent="0.15">
      <c r="A112" s="14" t="s">
        <v>147</v>
      </c>
      <c r="B112" s="12" t="s">
        <v>134</v>
      </c>
      <c r="C112" s="12">
        <f>INT((($A$2*3+$K$2+$O$2-$O$7)*(1+(($V$2-$W$7*0)/100*2))+($V$2*2))*0.9)</f>
        <v>3276</v>
      </c>
      <c r="D112" s="12">
        <f>INT(C112*1.9)</f>
        <v>6224</v>
      </c>
      <c r="E112" s="12">
        <f>INT((($A$2*3+$P$7-$N$2)*(1+(($W$7-$V$2*0)/100*2))+($W$7*2))*0.9)</f>
        <v>1862</v>
      </c>
      <c r="F112" s="12">
        <f>INT(E112*1.9)</f>
        <v>3537</v>
      </c>
      <c r="G112" s="12"/>
      <c r="H112" s="12"/>
      <c r="I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x14ac:dyDescent="0.15">
      <c r="A113" s="14" t="s">
        <v>147</v>
      </c>
      <c r="B113" s="12" t="s">
        <v>135</v>
      </c>
      <c r="C113" s="12">
        <f>INT((($A$2*3+$K$2+$O$2-$O$7)*(1+(($V$2-$W$7*0)/100*2))+($V$2*2))*0.8)</f>
        <v>2912</v>
      </c>
      <c r="D113" s="12">
        <f>INT(C113*2.6)</f>
        <v>7571</v>
      </c>
      <c r="E113" s="12">
        <f>INT((($A$2*3+$P$7-$N$2)*(1+(($W$7-$V$2*0)/100*2))+($W$7*2))*0.8)</f>
        <v>1655</v>
      </c>
      <c r="F113" s="12">
        <f>INT(E113*2.6)</f>
        <v>4303</v>
      </c>
      <c r="G113" s="12"/>
      <c r="H113" s="12"/>
      <c r="I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x14ac:dyDescent="0.15">
      <c r="A114" s="14" t="s">
        <v>147</v>
      </c>
      <c r="B114" s="12" t="s">
        <v>136</v>
      </c>
      <c r="C114" s="12">
        <f>INT((($A$2*3+$K$2+$O$2-$O$7)*(1+(($V$2-$W$7*0)/100*2))+($V$2*2))*0.7)</f>
        <v>2548</v>
      </c>
      <c r="D114" s="12">
        <f>INT(C114*3.1)</f>
        <v>7898</v>
      </c>
      <c r="E114" s="12">
        <f>INT((($A$2*3+$P$7-$N$2)*(1+(($W$7-$V$2*0)/100*2))+($W$7*2))*0.7)</f>
        <v>1448</v>
      </c>
      <c r="F114" s="12">
        <f>INT(E114*3.1)</f>
        <v>4488</v>
      </c>
      <c r="G114" s="12"/>
      <c r="H114" s="12"/>
      <c r="I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x14ac:dyDescent="0.15">
      <c r="A115" s="14" t="s">
        <v>147</v>
      </c>
      <c r="B115" s="12" t="s">
        <v>137</v>
      </c>
      <c r="C115" s="12">
        <f>INT((($A$2*3+$K$2+$O$2-$O$7)*(1+(($V$2-$W$7*0)/100*2))+($V$2*2))*0.6)</f>
        <v>2184</v>
      </c>
      <c r="D115" s="12">
        <f>INT(C115*3.4)</f>
        <v>7425</v>
      </c>
      <c r="E115" s="12">
        <f>INT((($A$2*3+$P$7-$N$2)*(1+(($W$7-$V$2)/100*2*0))+($W$7*2))*0.6)</f>
        <v>837</v>
      </c>
      <c r="F115" s="12">
        <f>INT(E115*3.4)</f>
        <v>2845</v>
      </c>
      <c r="G115" s="12"/>
      <c r="H115" s="12"/>
      <c r="I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x14ac:dyDescent="0.15">
      <c r="A116" s="14" t="s">
        <v>147</v>
      </c>
      <c r="B116" s="12" t="s">
        <v>138</v>
      </c>
      <c r="C116" s="12">
        <f>INT((($A$2*3+$K$2+$O$2-$O$7)*(1+(($V$2-$W$7*0)/100*2))+($V$2*2))*0.6)</f>
        <v>2184</v>
      </c>
      <c r="D116" s="12">
        <f>INT(C116*3.5)</f>
        <v>7644</v>
      </c>
      <c r="E116" s="12">
        <f>INT((($A$2*3+$P$7-$N$2)*(1+(($W$7-$V$2*0)/100*2))+($W$7*2))*0.6)</f>
        <v>1241</v>
      </c>
      <c r="F116" s="12">
        <f>INT(E116*3.5)</f>
        <v>4343</v>
      </c>
      <c r="G116" s="12"/>
      <c r="H116" s="12"/>
      <c r="I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x14ac:dyDescent="0.15">
      <c r="A117" s="14" t="s">
        <v>147</v>
      </c>
      <c r="B117" s="12" t="s">
        <v>123</v>
      </c>
      <c r="C117" s="12">
        <f>INT((($A$2*3+$K$2+$O$2-$O$7)*(1+(($V$2-$W$7*0)/100*2))+($V$2*2))*0.9)</f>
        <v>3276</v>
      </c>
      <c r="D117" s="12">
        <f>INT(C117*1.9)</f>
        <v>6224</v>
      </c>
      <c r="E117" s="12">
        <f>INT((($A$2*3+$P$7-$N$2)*(1+(($W$7-$V$2*0)/100*2))+($W$7*2))*0.9)</f>
        <v>1862</v>
      </c>
      <c r="F117" s="12">
        <f>INT(E117*1.9)</f>
        <v>3537</v>
      </c>
      <c r="G117" s="12"/>
      <c r="H117" s="12"/>
      <c r="I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x14ac:dyDescent="0.15">
      <c r="A118" s="14" t="s">
        <v>147</v>
      </c>
      <c r="B118" s="12" t="s">
        <v>124</v>
      </c>
      <c r="C118" s="12">
        <f>INT((($A$2*3+$K$2+$O$2-$O$7)*(1+(($V$2-$W$7*0)/100*2))+($V$2*2))*0.8)</f>
        <v>2912</v>
      </c>
      <c r="D118" s="12">
        <f>INT(C118*2.6)</f>
        <v>7571</v>
      </c>
      <c r="E118" s="12">
        <f>INT((($A$2*3+$P$7-$N$2)*(1+(($W$7-$V$2*0)/100*2))+($W$7*2))*0.8)</f>
        <v>1655</v>
      </c>
      <c r="F118" s="12">
        <f>INT(E118*2.6)</f>
        <v>4303</v>
      </c>
      <c r="G118" s="12"/>
      <c r="H118" s="12"/>
      <c r="I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x14ac:dyDescent="0.15">
      <c r="A119" s="14" t="s">
        <v>147</v>
      </c>
      <c r="B119" s="12" t="s">
        <v>125</v>
      </c>
      <c r="C119" s="12">
        <f>INT((($A$2*3+$K$2+$O$2-$O$7)*(1+(($V$2-$W$7*0)/100*2))+($V$2*2))*0.7)</f>
        <v>2548</v>
      </c>
      <c r="D119" s="12">
        <f>INT(C119*3.1)</f>
        <v>7898</v>
      </c>
      <c r="E119" s="12">
        <f>INT((($A$2*3+$P$7-$N$2)*(1+(($W$7-$V$2)/100*2*0))+($W$7*2))*0.7)</f>
        <v>977</v>
      </c>
      <c r="F119" s="12">
        <f>INT(E119*3.1)</f>
        <v>3028</v>
      </c>
      <c r="G119" s="12"/>
      <c r="H119" s="12"/>
      <c r="I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x14ac:dyDescent="0.15">
      <c r="A120" s="14" t="s">
        <v>147</v>
      </c>
      <c r="B120" s="12" t="s">
        <v>126</v>
      </c>
      <c r="C120" s="12">
        <f>INT((($A$2*3+$K$2+$O$2-$O$7)*(1+(($V$2-$W$7*0)/100*2))+($V$2*2))*0.6)</f>
        <v>2184</v>
      </c>
      <c r="D120" s="12">
        <f>INT(C120*3.4)</f>
        <v>7425</v>
      </c>
      <c r="E120" s="12">
        <f>INT((($A$2*3+$P$7-$N$2)*(1+(($W$7-$V$2*0)/100*2))+($W$7*2))*0.6)</f>
        <v>1241</v>
      </c>
      <c r="F120" s="12">
        <f>INT(E120*3.4)</f>
        <v>4219</v>
      </c>
      <c r="G120" s="12"/>
      <c r="H120" s="12"/>
      <c r="I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x14ac:dyDescent="0.15">
      <c r="A121" s="14" t="s">
        <v>147</v>
      </c>
      <c r="B121" s="12" t="s">
        <v>127</v>
      </c>
      <c r="C121" s="12">
        <f>INT((($A$2*3+$K$2+$O$2-$O$7)*(1+(($V$2-$W$7*0)/100*2))+($V$2*2))*0.5)</f>
        <v>1820</v>
      </c>
      <c r="D121" s="12">
        <f>INT(C121*3.5)</f>
        <v>6370</v>
      </c>
      <c r="E121" s="12">
        <f>INT((($A$2*3+$P$7-$N$2)*(1+(($W$7-$V$2*0)/100*2))+($W$7*2))*0.5)</f>
        <v>1034</v>
      </c>
      <c r="F121" s="12">
        <f>INT(E121*3.5)</f>
        <v>3619</v>
      </c>
      <c r="G121" s="12"/>
      <c r="H121" s="12"/>
      <c r="I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x14ac:dyDescent="0.15">
      <c r="A122" s="14" t="s">
        <v>147</v>
      </c>
      <c r="B122" s="12" t="s">
        <v>128</v>
      </c>
      <c r="C122" s="12">
        <f>INT((($A$2*3+$K$2+$O$2-$O$7)*(1+(($V$2-$W$7*0)/100*2))+($V$2*2))*0.5)</f>
        <v>1820</v>
      </c>
      <c r="D122" s="12">
        <f>INT(C122*4)</f>
        <v>7280</v>
      </c>
      <c r="E122" s="12">
        <f>INT((($A$2*3+$P$7-$N$2)*(1+(($W$7-$V$2*0)/100*2))+($W$7*2))*0.5)</f>
        <v>1034</v>
      </c>
      <c r="F122" s="12">
        <f>INT(E122*4)</f>
        <v>4136</v>
      </c>
      <c r="G122" s="12"/>
      <c r="H122" s="12"/>
      <c r="I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x14ac:dyDescent="0.15">
      <c r="A123" s="14" t="s">
        <v>147</v>
      </c>
      <c r="B123" s="12" t="s">
        <v>129</v>
      </c>
      <c r="C123" s="12">
        <f>INT((($A$2*3+$K$2+$O$2-$O$7)*(1+(($V$2-$W$7*0)/100*2))+($V$2*2))*0.5)</f>
        <v>1820</v>
      </c>
      <c r="D123" s="12">
        <f>INT(C123*4.5)</f>
        <v>8190</v>
      </c>
      <c r="E123" s="12">
        <f>INT((($A$2*3+$P$7-$N$2)*(1+(($W$7-$V$2*0)/100*2))+($W$7*2))*0.5)</f>
        <v>1034</v>
      </c>
      <c r="F123" s="12">
        <f>INT(E123*4.5)</f>
        <v>4653</v>
      </c>
      <c r="G123" s="12"/>
      <c r="H123" s="12"/>
      <c r="I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x14ac:dyDescent="0.15">
      <c r="A124" s="14" t="s">
        <v>147</v>
      </c>
      <c r="B124" s="12" t="s">
        <v>130</v>
      </c>
      <c r="C124" s="12">
        <f>INT((($A$2*3+$K$2+$O$2-$O$7)*(1+(($V$2-$W$7*0)/100*2))+($V$2*2))*0.4)</f>
        <v>1456</v>
      </c>
      <c r="D124" s="12">
        <f>INT(C124*4.2)</f>
        <v>6115</v>
      </c>
      <c r="E124" s="12">
        <f>INT((($A$2*3+$P$7-$N$2)*(1+(($W$7-$V$2*0)/100*2))+($W$7*2))*0.4)</f>
        <v>827</v>
      </c>
      <c r="F124" s="12">
        <f>INT(E124*4.2)</f>
        <v>3473</v>
      </c>
      <c r="G124" s="12"/>
      <c r="H124" s="12"/>
      <c r="I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x14ac:dyDescent="0.15">
      <c r="A125" s="14" t="s">
        <v>147</v>
      </c>
      <c r="B125" s="12" t="s">
        <v>131</v>
      </c>
      <c r="C125" s="12">
        <f>INT((($A$2*3+$K$2+$O$2-$O$7)*(1+(($V$2-$W$7*0)/100*2))+($V$2*2))*0.4)</f>
        <v>1456</v>
      </c>
      <c r="D125" s="12">
        <f>INT(C125*4.6)</f>
        <v>6697</v>
      </c>
      <c r="E125" s="12">
        <f>INT((($A$2*3+$P$7-$N$2)*(1+(($W$7-$V$2*0)/100*2))+($W$7*2))*0.4)</f>
        <v>827</v>
      </c>
      <c r="F125" s="12">
        <f>INT(E125*4.6)</f>
        <v>3804</v>
      </c>
      <c r="G125" s="12"/>
      <c r="H125" s="12"/>
      <c r="I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x14ac:dyDescent="0.15">
      <c r="A126" s="14" t="s">
        <v>147</v>
      </c>
      <c r="B126" s="12" t="s">
        <v>132</v>
      </c>
      <c r="C126" s="12">
        <f>INT((($A$2*3+$K$2+$O$2-$O$7)*(1+(($V$2-$W$7*0)/100*2))+($V$2*2))*0.4)</f>
        <v>1456</v>
      </c>
      <c r="D126" s="12">
        <f>INT(C126*5)</f>
        <v>7280</v>
      </c>
      <c r="E126" s="12">
        <f>INT((($A$2*3+$P$7-$N$2)*(1+(($W$7-$V$2*0)/100*2))+($W$7*2))*0.4)</f>
        <v>827</v>
      </c>
      <c r="F126" s="12">
        <f>INT(E126*5)</f>
        <v>4135</v>
      </c>
      <c r="G126" s="12"/>
      <c r="H126" s="12"/>
      <c r="I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x14ac:dyDescent="0.15">
      <c r="A127" s="14" t="s">
        <v>148</v>
      </c>
      <c r="B127" s="12" t="s">
        <v>114</v>
      </c>
      <c r="C127" s="12">
        <f>INT(($I$2-$N$8)*(1+(($V$2-$W$8*0)/100*2))+($V$2*2))</f>
        <v>3693</v>
      </c>
      <c r="D127" s="15">
        <f>C127*2</f>
        <v>7386</v>
      </c>
      <c r="E127" s="12">
        <f>INT(($I$8-$M$2)*(1+(($W$8-$V$2*0)/100*2))+($W$8*2))</f>
        <v>1221</v>
      </c>
      <c r="F127" s="15">
        <f>E127*2</f>
        <v>2442</v>
      </c>
      <c r="G127" s="12"/>
      <c r="H127" s="12"/>
      <c r="I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x14ac:dyDescent="0.15">
      <c r="A128" s="14" t="s">
        <v>148</v>
      </c>
      <c r="B128" s="12" t="s">
        <v>115</v>
      </c>
      <c r="C128" s="12">
        <f>INT(($A$2*3.5+$K$2+$O$2-$O$8)*(1+(($V$2-$W$7*0)/100*2))+($V$2*2))</f>
        <v>3662</v>
      </c>
      <c r="D128" s="15">
        <f>C128*2</f>
        <v>7324</v>
      </c>
      <c r="E128" s="12">
        <f>INT(($A$2*3.5+$P$8-$N$2)*(1+(($W$8-$V$2*0)/100*2))+($W$8*2))</f>
        <v>2303</v>
      </c>
      <c r="F128" s="15">
        <f>E128*2</f>
        <v>4606</v>
      </c>
      <c r="G128" s="12"/>
      <c r="H128" s="12"/>
      <c r="I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x14ac:dyDescent="0.15">
      <c r="A129" s="14" t="s">
        <v>148</v>
      </c>
      <c r="B129" s="12" t="s">
        <v>134</v>
      </c>
      <c r="C129" s="12">
        <f>INT((($A$2*3+$K$2+$O$2-$O$8)*(1+(($V$2-$W$7*0)/100*2))+($V$2*2))*0.9)</f>
        <v>3181</v>
      </c>
      <c r="D129" s="12">
        <f>INT(C129*1.9)</f>
        <v>6043</v>
      </c>
      <c r="E129" s="12">
        <f>INT((($A$2*3+$P$8-$N$2)*(1+(($W$8-$V$2*0)/100*2))+($W$8*2))*0.9)</f>
        <v>1957</v>
      </c>
      <c r="F129" s="12">
        <f>INT(E129*1.9)</f>
        <v>3718</v>
      </c>
      <c r="G129" s="12"/>
      <c r="H129" s="12"/>
      <c r="I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x14ac:dyDescent="0.15">
      <c r="A130" s="14" t="s">
        <v>148</v>
      </c>
      <c r="B130" s="12" t="s">
        <v>135</v>
      </c>
      <c r="C130" s="12">
        <f>INT((($A$2*3+$K$2+$O$2-$O$8)*(1+(($V$2-$W$7*0)/100*2))+($V$2*2))*0.8)</f>
        <v>2827</v>
      </c>
      <c r="D130" s="12">
        <f>INT(C130*2.6)</f>
        <v>7350</v>
      </c>
      <c r="E130" s="12">
        <f>INT((($A$2*3+$P$8-$N$2)*(1+(($W$8-$V$2*0)/100*2))+($W$8*2))*0.8)</f>
        <v>1740</v>
      </c>
      <c r="F130" s="12">
        <f>INT(E130*2.6)</f>
        <v>4524</v>
      </c>
      <c r="G130" s="12"/>
      <c r="H130" s="12"/>
      <c r="I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x14ac:dyDescent="0.15">
      <c r="A131" s="14" t="s">
        <v>148</v>
      </c>
      <c r="B131" s="12" t="s">
        <v>136</v>
      </c>
      <c r="C131" s="12">
        <f>INT((($A$2*3+$K$2+$O$2-$O$8)*(1+(($V$2-$W$7*0)/100*2))+($V$2*2))*0.7)</f>
        <v>2474</v>
      </c>
      <c r="D131" s="12">
        <f>INT(C131*3.1)</f>
        <v>7669</v>
      </c>
      <c r="E131" s="12">
        <f>INT((($A$2*3+$P$8-$N$2)*(1+(($W$8-$V$2*0)/100*2))+($W$8*2))*0.7)</f>
        <v>1522</v>
      </c>
      <c r="F131" s="12">
        <f>INT(E131*3.1)</f>
        <v>4718</v>
      </c>
      <c r="G131" s="12"/>
      <c r="H131" s="12"/>
      <c r="I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x14ac:dyDescent="0.15">
      <c r="A132" s="14" t="s">
        <v>148</v>
      </c>
      <c r="B132" s="12" t="s">
        <v>137</v>
      </c>
      <c r="C132" s="12">
        <f>INT((($A$2*3+$K$2+$O$2-$O$8)*(1+(($V$2-$W$7*0)/100*2))+($V$2*2))*0.6)</f>
        <v>2120</v>
      </c>
      <c r="D132" s="12">
        <f>INT(C132*3.4)</f>
        <v>7208</v>
      </c>
      <c r="E132" s="12">
        <f>INT((($A$2*3+$P$8-$N$2)*(1+(($W$8-$V$2*0)/100*2))+($W$8*2))*0.6)</f>
        <v>1305</v>
      </c>
      <c r="F132" s="12">
        <f>INT(E132*3.4)</f>
        <v>4437</v>
      </c>
      <c r="G132" s="12"/>
      <c r="H132" s="12"/>
      <c r="I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x14ac:dyDescent="0.15">
      <c r="A133" s="14" t="s">
        <v>148</v>
      </c>
      <c r="B133" s="12" t="s">
        <v>138</v>
      </c>
      <c r="C133" s="12">
        <f>INT((($A$2*3+$K$2+$O$2-$O$8)*(1+(($V$2-$W$7*0)/100*2))+($V$2*2))*0.6)</f>
        <v>2120</v>
      </c>
      <c r="D133" s="12">
        <f>INT(C133*3.5)</f>
        <v>7420</v>
      </c>
      <c r="E133" s="12">
        <f>INT((($A$2*3+$P$8-$N$2)*(1+(($W$8-$V$2*0)/100*2))+($W$8*2))*0.6)</f>
        <v>1305</v>
      </c>
      <c r="F133" s="12">
        <f>INT(E133*3.5)</f>
        <v>4567</v>
      </c>
      <c r="G133" s="12"/>
      <c r="H133" s="12"/>
      <c r="I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x14ac:dyDescent="0.15">
      <c r="A134" s="14" t="s">
        <v>148</v>
      </c>
      <c r="B134" s="12" t="s">
        <v>123</v>
      </c>
      <c r="C134" s="12">
        <f>INT((($A$2*3+$K$2+$O$2-$O$8)*(1+(($V$2-$W$7*0)/100*2))+($V$2*2))*0.9)</f>
        <v>3181</v>
      </c>
      <c r="D134" s="12">
        <f>INT(C134*1.9)</f>
        <v>6043</v>
      </c>
      <c r="E134" s="12">
        <f>INT((($A$2*3+$P$8-$N$2)*(1+(($W$8-$V$2*0)/100*2))+($W$8*2))*0.9)</f>
        <v>1957</v>
      </c>
      <c r="F134" s="12">
        <f>INT(E134*1.9)</f>
        <v>3718</v>
      </c>
      <c r="G134" s="12"/>
      <c r="H134" s="12"/>
      <c r="I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x14ac:dyDescent="0.15">
      <c r="A135" s="14" t="s">
        <v>148</v>
      </c>
      <c r="B135" s="12" t="s">
        <v>124</v>
      </c>
      <c r="C135" s="12">
        <f>INT((($A$2*3+$K$2+$O$2-$O$8)*(1+(($V$2-$W$7*0)/100*2))+($V$2*2))*0.8)</f>
        <v>2827</v>
      </c>
      <c r="D135" s="12">
        <f>INT(C135*2.6)</f>
        <v>7350</v>
      </c>
      <c r="E135" s="12">
        <f>INT((($A$2*3+$P$8-$N$2)*(1+(($W$8-$V$2*0)/100*2))+($W$8*2))*0.8)</f>
        <v>1740</v>
      </c>
      <c r="F135" s="12">
        <f>INT(E135*2.6)</f>
        <v>4524</v>
      </c>
      <c r="G135" s="12"/>
      <c r="H135" s="12"/>
      <c r="I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x14ac:dyDescent="0.15">
      <c r="A136" s="14" t="s">
        <v>148</v>
      </c>
      <c r="B136" s="12" t="s">
        <v>125</v>
      </c>
      <c r="C136" s="12">
        <f>INT((($A$2*3+$K$2+$O$2-$O$8)*(1+(($V$2-$W$7*0)/100*2))+($V$2*2))*0.7)</f>
        <v>2474</v>
      </c>
      <c r="D136" s="12">
        <f>INT(C136*3.1)</f>
        <v>7669</v>
      </c>
      <c r="E136" s="12">
        <f>INT((($A$2*3+$P$8-$N$2)*(1+(($W$8-$V$2*0)/100*2))+($W$8*2))*0.7)</f>
        <v>1522</v>
      </c>
      <c r="F136" s="12">
        <f>INT(E136*3.1)</f>
        <v>4718</v>
      </c>
      <c r="G136" s="12"/>
      <c r="H136" s="12"/>
      <c r="I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x14ac:dyDescent="0.15">
      <c r="A137" s="14" t="s">
        <v>148</v>
      </c>
      <c r="B137" s="12" t="s">
        <v>126</v>
      </c>
      <c r="C137" s="12">
        <f>INT((($A$2*3+$K$2+$O$2-$O$8)*(1+(($V$2-$W$7*0)/100*2))+($V$2*2))*0.6)</f>
        <v>2120</v>
      </c>
      <c r="D137" s="12">
        <f>INT(C137*3.4)</f>
        <v>7208</v>
      </c>
      <c r="E137" s="12">
        <f>INT((($A$2*3+$P$8-$N$2)*(1+(($W$8-$V$2*0)/100*2))+($W$8*2))*0.6)</f>
        <v>1305</v>
      </c>
      <c r="F137" s="12">
        <f>INT(E137*3.4)</f>
        <v>4437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x14ac:dyDescent="0.15">
      <c r="A138" s="14" t="s">
        <v>148</v>
      </c>
      <c r="B138" s="12" t="s">
        <v>127</v>
      </c>
      <c r="C138" s="12">
        <f>INT((($A$2*3+$K$2+$O$2-$O$8)*(1+(($V$2-$W$7*0)/100*2))+($V$2*2))*0.5)</f>
        <v>1767</v>
      </c>
      <c r="D138" s="12">
        <f>INT(C138*3.5)</f>
        <v>6184</v>
      </c>
      <c r="E138" s="12">
        <f>INT((($A$2*3+$P$8-$N$2)*(1+(($W$8-$V$2*0)/100*2))+($W$8*2))*0.5)</f>
        <v>1087</v>
      </c>
      <c r="F138" s="12">
        <f>INT(E138*3.5)</f>
        <v>3804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x14ac:dyDescent="0.15">
      <c r="A139" s="14" t="s">
        <v>148</v>
      </c>
      <c r="B139" s="12" t="s">
        <v>128</v>
      </c>
      <c r="C139" s="12">
        <f>INT((($A$2*3+$K$2+$O$2-$O$8)*(1+(($V$2-$W$7*0)/100*2))+($V$2*2))*0.5)</f>
        <v>1767</v>
      </c>
      <c r="D139" s="12">
        <f>INT(C139*4)</f>
        <v>7068</v>
      </c>
      <c r="E139" s="12">
        <f>INT((($A$2*3+$P$8-$N$2)*(1+(($W$8-$V$2*0)/100*2))+($W$8*2))*0.5)</f>
        <v>1087</v>
      </c>
      <c r="F139" s="12">
        <f>INT(E139*4)</f>
        <v>4348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x14ac:dyDescent="0.15">
      <c r="A140" s="14" t="s">
        <v>148</v>
      </c>
      <c r="B140" s="12" t="s">
        <v>129</v>
      </c>
      <c r="C140" s="12">
        <f>INT((($A$2*3+$K$2+$O$2-$O$8)*(1+(($V$2-$W$7*0)/100*2))+($V$2*2))*0.5)</f>
        <v>1767</v>
      </c>
      <c r="D140" s="12">
        <f>INT(C140*4.5)</f>
        <v>7951</v>
      </c>
      <c r="E140" s="12">
        <f>INT((($A$2*3+$P$8-$N$2)*(1+(($W$8-$V$2*0)/100*2))+($W$8*2))*0.5)</f>
        <v>1087</v>
      </c>
      <c r="F140" s="12">
        <f>INT(E140*4.5)</f>
        <v>4891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x14ac:dyDescent="0.15">
      <c r="A141" s="14" t="s">
        <v>148</v>
      </c>
      <c r="B141" s="12" t="s">
        <v>130</v>
      </c>
      <c r="C141" s="12">
        <f>INT((($A$2*3+$K$2+$O$2-$O$8)*(1+(($V$2-$W$7*0)/100*2))+($V$2*2))*0.4)</f>
        <v>1413</v>
      </c>
      <c r="D141" s="12">
        <f>INT(C141*4.2)</f>
        <v>5934</v>
      </c>
      <c r="E141" s="12">
        <f>INT((($A$2*3+$P$8-$N$2)*(1+(($W$8-$V$2*0)/100*2))+($W$8*2))*0.4)</f>
        <v>870</v>
      </c>
      <c r="F141" s="12">
        <f>INT(E141*4.2)</f>
        <v>3654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x14ac:dyDescent="0.15">
      <c r="A142" s="14" t="s">
        <v>148</v>
      </c>
      <c r="B142" s="12" t="s">
        <v>131</v>
      </c>
      <c r="C142" s="12">
        <f>INT((($A$2*3+$K$2+$O$2-$O$8)*(1+(($V$2-$W$7*0)/100*2))+($V$2*2))*0.4)</f>
        <v>1413</v>
      </c>
      <c r="D142" s="12">
        <f>INT(C142*4.6)</f>
        <v>6499</v>
      </c>
      <c r="E142" s="12">
        <f>INT((($A$2*3+$P$8-$N$2)*(1+(($W$8-$V$2*0)/100*2))+($W$8*2))*0.4)</f>
        <v>870</v>
      </c>
      <c r="F142" s="12">
        <f>INT(E142*4.6)</f>
        <v>4002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x14ac:dyDescent="0.15">
      <c r="A143" s="14" t="s">
        <v>148</v>
      </c>
      <c r="B143" s="12" t="s">
        <v>132</v>
      </c>
      <c r="C143" s="12">
        <f>INT((($A$2*3+$K$2+$O$2-$O$8)*(1+(($V$2-$W$7*0)/100*2))+($V$2*2))*0.4)</f>
        <v>1413</v>
      </c>
      <c r="D143" s="12">
        <f>INT(C143*5)</f>
        <v>7065</v>
      </c>
      <c r="E143" s="12">
        <f>INT((($A$2*3+$P$8-$N$2)*(1+(($W$8-$V$2*0)/100*2))+($W$8*2))*0.4)</f>
        <v>870</v>
      </c>
      <c r="F143" s="12">
        <f>INT(E143*5)</f>
        <v>4350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x14ac:dyDescent="0.15"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7:35" x14ac:dyDescent="0.15"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7:35" x14ac:dyDescent="0.15"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7:35" x14ac:dyDescent="0.15"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7:35" x14ac:dyDescent="0.15"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7:35" x14ac:dyDescent="0.15"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7:35" x14ac:dyDescent="0.15"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7:35" x14ac:dyDescent="0.15"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7:35" x14ac:dyDescent="0.15"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7:35" x14ac:dyDescent="0.15"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7:35" x14ac:dyDescent="0.15"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7:35" x14ac:dyDescent="0.15"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7:35" x14ac:dyDescent="0.15"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7:35" x14ac:dyDescent="0.15"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7:35" x14ac:dyDescent="0.15"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7:35" x14ac:dyDescent="0.15"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7:35" x14ac:dyDescent="0.15"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7:35" x14ac:dyDescent="0.15"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7:35" x14ac:dyDescent="0.15"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7:35" x14ac:dyDescent="0.15"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7:35" s="12" customFormat="1" x14ac:dyDescent="0.15"/>
    <row r="165" spans="7:35" s="12" customFormat="1" x14ac:dyDescent="0.15"/>
    <row r="166" spans="7:35" s="12" customFormat="1" x14ac:dyDescent="0.15"/>
    <row r="167" spans="7:35" s="12" customFormat="1" x14ac:dyDescent="0.15"/>
    <row r="168" spans="7:35" s="12" customFormat="1" x14ac:dyDescent="0.15"/>
    <row r="169" spans="7:35" s="12" customFormat="1" x14ac:dyDescent="0.15"/>
    <row r="170" spans="7:35" s="12" customFormat="1" x14ac:dyDescent="0.15"/>
    <row r="171" spans="7:35" s="12" customFormat="1" x14ac:dyDescent="0.15"/>
    <row r="172" spans="7:35" s="12" customFormat="1" x14ac:dyDescent="0.15"/>
    <row r="173" spans="7:35" s="12" customFormat="1" x14ac:dyDescent="0.15"/>
    <row r="174" spans="7:35" s="12" customFormat="1" x14ac:dyDescent="0.15"/>
    <row r="175" spans="7:35" s="12" customFormat="1" x14ac:dyDescent="0.15"/>
    <row r="176" spans="7:35" s="12" customFormat="1" x14ac:dyDescent="0.15"/>
    <row r="177" s="12" customFormat="1" x14ac:dyDescent="0.15"/>
    <row r="178" s="12" customFormat="1" x14ac:dyDescent="0.15"/>
    <row r="179" s="12" customFormat="1" x14ac:dyDescent="0.15"/>
    <row r="180" s="12" customFormat="1" x14ac:dyDescent="0.15"/>
    <row r="181" s="12" customFormat="1" x14ac:dyDescent="0.15"/>
    <row r="182" s="12" customFormat="1" x14ac:dyDescent="0.15"/>
    <row r="183" s="12" customFormat="1" x14ac:dyDescent="0.15"/>
    <row r="184" s="12" customFormat="1" x14ac:dyDescent="0.15"/>
    <row r="185" s="12" customFormat="1" x14ac:dyDescent="0.15"/>
    <row r="186" s="12" customFormat="1" x14ac:dyDescent="0.15"/>
    <row r="187" s="12" customFormat="1" x14ac:dyDescent="0.15"/>
    <row r="188" s="12" customFormat="1" x14ac:dyDescent="0.15"/>
    <row r="189" s="12" customFormat="1" x14ac:dyDescent="0.15"/>
    <row r="190" s="12" customFormat="1" x14ac:dyDescent="0.15"/>
    <row r="191" s="12" customFormat="1" x14ac:dyDescent="0.15"/>
    <row r="192" s="12" customFormat="1" x14ac:dyDescent="0.15"/>
    <row r="193" s="12" customFormat="1" x14ac:dyDescent="0.15"/>
    <row r="194" s="12" customFormat="1" x14ac:dyDescent="0.15"/>
    <row r="195" s="12" customFormat="1" x14ac:dyDescent="0.15"/>
    <row r="196" s="12" customFormat="1" x14ac:dyDescent="0.15"/>
    <row r="197" s="12" customFormat="1" x14ac:dyDescent="0.15"/>
    <row r="198" s="12" customFormat="1" x14ac:dyDescent="0.15"/>
    <row r="199" s="12" customFormat="1" x14ac:dyDescent="0.15"/>
    <row r="200" s="12" customFormat="1" x14ac:dyDescent="0.15"/>
    <row r="201" s="12" customFormat="1" x14ac:dyDescent="0.15"/>
    <row r="202" s="12" customFormat="1" x14ac:dyDescent="0.15"/>
    <row r="203" s="12" customFormat="1" x14ac:dyDescent="0.15"/>
    <row r="204" s="12" customFormat="1" x14ac:dyDescent="0.15"/>
    <row r="205" s="12" customFormat="1" x14ac:dyDescent="0.15"/>
    <row r="206" s="12" customFormat="1" x14ac:dyDescent="0.15"/>
    <row r="207" s="12" customFormat="1" x14ac:dyDescent="0.15"/>
    <row r="208" s="12" customFormat="1" x14ac:dyDescent="0.15"/>
    <row r="209" s="12" customFormat="1" x14ac:dyDescent="0.15"/>
    <row r="210" s="12" customFormat="1" x14ac:dyDescent="0.15"/>
    <row r="211" s="12" customFormat="1" x14ac:dyDescent="0.15"/>
    <row r="212" s="12" customFormat="1" x14ac:dyDescent="0.15"/>
    <row r="213" s="12" customFormat="1" x14ac:dyDescent="0.15"/>
    <row r="214" s="12" customFormat="1" x14ac:dyDescent="0.15"/>
    <row r="215" s="12" customFormat="1" x14ac:dyDescent="0.15"/>
    <row r="216" s="12" customFormat="1" x14ac:dyDescent="0.15"/>
    <row r="217" s="12" customFormat="1" x14ac:dyDescent="0.15"/>
    <row r="218" s="12" customFormat="1" x14ac:dyDescent="0.15"/>
    <row r="219" s="12" customFormat="1" x14ac:dyDescent="0.15"/>
    <row r="220" s="12" customFormat="1" x14ac:dyDescent="0.15"/>
    <row r="221" s="12" customFormat="1" x14ac:dyDescent="0.15"/>
    <row r="222" s="12" customFormat="1" x14ac:dyDescent="0.15"/>
    <row r="223" s="12" customFormat="1" x14ac:dyDescent="0.15"/>
    <row r="224" s="12" customFormat="1" x14ac:dyDescent="0.15"/>
    <row r="225" s="12" customFormat="1" x14ac:dyDescent="0.15"/>
    <row r="226" s="12" customFormat="1" x14ac:dyDescent="0.15"/>
    <row r="227" s="12" customFormat="1" x14ac:dyDescent="0.15"/>
    <row r="228" s="12" customFormat="1" x14ac:dyDescent="0.15"/>
    <row r="229" s="12" customFormat="1" x14ac:dyDescent="0.15"/>
    <row r="230" s="12" customFormat="1" x14ac:dyDescent="0.15"/>
    <row r="231" s="12" customFormat="1" x14ac:dyDescent="0.15"/>
    <row r="232" s="12" customFormat="1" x14ac:dyDescent="0.15"/>
    <row r="233" s="12" customFormat="1" x14ac:dyDescent="0.15"/>
    <row r="234" s="12" customFormat="1" x14ac:dyDescent="0.15"/>
    <row r="235" s="12" customFormat="1" x14ac:dyDescent="0.15"/>
    <row r="236" s="12" customFormat="1" x14ac:dyDescent="0.15"/>
    <row r="237" s="12" customFormat="1" x14ac:dyDescent="0.15"/>
    <row r="238" s="12" customFormat="1" x14ac:dyDescent="0.15"/>
    <row r="239" s="12" customFormat="1" x14ac:dyDescent="0.15"/>
    <row r="240" s="12" customFormat="1" x14ac:dyDescent="0.15"/>
    <row r="241" s="12" customFormat="1" x14ac:dyDescent="0.15"/>
    <row r="242" s="12" customFormat="1" x14ac:dyDescent="0.15"/>
    <row r="243" s="12" customFormat="1" x14ac:dyDescent="0.15"/>
    <row r="244" s="12" customFormat="1" x14ac:dyDescent="0.15"/>
    <row r="245" s="12" customFormat="1" x14ac:dyDescent="0.15"/>
    <row r="246" s="12" customFormat="1" x14ac:dyDescent="0.15"/>
    <row r="247" s="12" customFormat="1" x14ac:dyDescent="0.15"/>
    <row r="248" s="12" customFormat="1" x14ac:dyDescent="0.15"/>
    <row r="249" s="12" customFormat="1" x14ac:dyDescent="0.15"/>
    <row r="250" s="12" customFormat="1" x14ac:dyDescent="0.15"/>
    <row r="251" s="12" customFormat="1" x14ac:dyDescent="0.15"/>
    <row r="252" s="12" customFormat="1" x14ac:dyDescent="0.15"/>
    <row r="253" s="12" customFormat="1" x14ac:dyDescent="0.15"/>
    <row r="254" s="12" customFormat="1" x14ac:dyDescent="0.15"/>
    <row r="255" s="12" customFormat="1" x14ac:dyDescent="0.15"/>
    <row r="256" s="12" customFormat="1" x14ac:dyDescent="0.15"/>
    <row r="257" s="12" customFormat="1" x14ac:dyDescent="0.15"/>
    <row r="258" s="12" customFormat="1" x14ac:dyDescent="0.15"/>
    <row r="259" s="12" customFormat="1" x14ac:dyDescent="0.15"/>
    <row r="260" s="12" customFormat="1" x14ac:dyDescent="0.15"/>
    <row r="261" s="12" customFormat="1" x14ac:dyDescent="0.15"/>
    <row r="262" s="12" customFormat="1" x14ac:dyDescent="0.15"/>
    <row r="263" s="12" customFormat="1" x14ac:dyDescent="0.15"/>
    <row r="264" s="12" customFormat="1" x14ac:dyDescent="0.15"/>
    <row r="265" s="12" customFormat="1" x14ac:dyDescent="0.15"/>
    <row r="266" s="12" customFormat="1" x14ac:dyDescent="0.15"/>
    <row r="267" s="12" customFormat="1" x14ac:dyDescent="0.15"/>
    <row r="268" s="12" customFormat="1" x14ac:dyDescent="0.15"/>
    <row r="269" s="12" customFormat="1" x14ac:dyDescent="0.15"/>
    <row r="270" s="12" customFormat="1" x14ac:dyDescent="0.15"/>
    <row r="271" s="12" customFormat="1" x14ac:dyDescent="0.15"/>
    <row r="272" s="12" customFormat="1" x14ac:dyDescent="0.15"/>
    <row r="273" s="12" customFormat="1" x14ac:dyDescent="0.15"/>
    <row r="274" s="12" customFormat="1" x14ac:dyDescent="0.15"/>
    <row r="275" s="12" customFormat="1" x14ac:dyDescent="0.15"/>
    <row r="276" s="12" customFormat="1" x14ac:dyDescent="0.15"/>
    <row r="277" s="12" customFormat="1" x14ac:dyDescent="0.15"/>
    <row r="278" s="12" customFormat="1" x14ac:dyDescent="0.15"/>
    <row r="279" s="12" customFormat="1" x14ac:dyDescent="0.15"/>
    <row r="280" s="12" customFormat="1" x14ac:dyDescent="0.15"/>
    <row r="281" s="12" customFormat="1" x14ac:dyDescent="0.15"/>
    <row r="282" s="12" customFormat="1" x14ac:dyDescent="0.15"/>
    <row r="283" s="12" customFormat="1" x14ac:dyDescent="0.15"/>
    <row r="284" s="12" customFormat="1" x14ac:dyDescent="0.15"/>
    <row r="285" s="12" customFormat="1" x14ac:dyDescent="0.15"/>
    <row r="286" s="12" customFormat="1" x14ac:dyDescent="0.15"/>
    <row r="287" s="12" customFormat="1" x14ac:dyDescent="0.15"/>
    <row r="288" s="12" customFormat="1" x14ac:dyDescent="0.15"/>
    <row r="289" s="12" customFormat="1" x14ac:dyDescent="0.15"/>
    <row r="290" s="12" customFormat="1" x14ac:dyDescent="0.15"/>
    <row r="291" s="12" customFormat="1" x14ac:dyDescent="0.15"/>
    <row r="292" s="12" customFormat="1" x14ac:dyDescent="0.15"/>
    <row r="293" s="12" customFormat="1" x14ac:dyDescent="0.15"/>
    <row r="294" s="12" customFormat="1" x14ac:dyDescent="0.15"/>
    <row r="295" s="12" customFormat="1" x14ac:dyDescent="0.15"/>
    <row r="296" s="12" customFormat="1" x14ac:dyDescent="0.15"/>
    <row r="297" s="12" customFormat="1" x14ac:dyDescent="0.15"/>
    <row r="298" s="12" customFormat="1" x14ac:dyDescent="0.15"/>
    <row r="299" s="12" customFormat="1" x14ac:dyDescent="0.15"/>
    <row r="300" s="12" customFormat="1" x14ac:dyDescent="0.15"/>
    <row r="301" s="12" customFormat="1" x14ac:dyDescent="0.15"/>
    <row r="302" s="12" customFormat="1" x14ac:dyDescent="0.15"/>
    <row r="303" s="12" customFormat="1" x14ac:dyDescent="0.15"/>
    <row r="304" s="12" customFormat="1" x14ac:dyDescent="0.15"/>
    <row r="305" s="12" customFormat="1" x14ac:dyDescent="0.15"/>
    <row r="306" s="12" customFormat="1" x14ac:dyDescent="0.15"/>
    <row r="307" s="12" customFormat="1" x14ac:dyDescent="0.15"/>
    <row r="308" s="12" customFormat="1" x14ac:dyDescent="0.15"/>
    <row r="309" s="12" customFormat="1" x14ac:dyDescent="0.15"/>
    <row r="310" s="12" customFormat="1" x14ac:dyDescent="0.15"/>
    <row r="311" s="12" customFormat="1" x14ac:dyDescent="0.15"/>
    <row r="312" s="12" customFormat="1" x14ac:dyDescent="0.15"/>
    <row r="313" s="12" customFormat="1" x14ac:dyDescent="0.15"/>
    <row r="314" s="12" customFormat="1" x14ac:dyDescent="0.15"/>
    <row r="315" s="12" customFormat="1" x14ac:dyDescent="0.15"/>
    <row r="316" s="12" customFormat="1" x14ac:dyDescent="0.15"/>
    <row r="317" s="12" customFormat="1" x14ac:dyDescent="0.15"/>
    <row r="318" s="12" customFormat="1" x14ac:dyDescent="0.15"/>
    <row r="319" s="12" customFormat="1" x14ac:dyDescent="0.15"/>
    <row r="320" s="12" customFormat="1" x14ac:dyDescent="0.15"/>
    <row r="321" s="12" customFormat="1" x14ac:dyDescent="0.15"/>
    <row r="322" s="12" customFormat="1" x14ac:dyDescent="0.15"/>
    <row r="323" s="12" customFormat="1" x14ac:dyDescent="0.15"/>
    <row r="324" s="12" customFormat="1" x14ac:dyDescent="0.15"/>
    <row r="325" s="12" customFormat="1" x14ac:dyDescent="0.15"/>
    <row r="326" s="12" customFormat="1" x14ac:dyDescent="0.15"/>
    <row r="327" s="12" customFormat="1" x14ac:dyDescent="0.15"/>
    <row r="328" s="12" customFormat="1" x14ac:dyDescent="0.15"/>
    <row r="329" s="12" customFormat="1" x14ac:dyDescent="0.15"/>
    <row r="330" s="12" customFormat="1" x14ac:dyDescent="0.15"/>
    <row r="331" s="12" customFormat="1" x14ac:dyDescent="0.15"/>
    <row r="332" s="12" customFormat="1" x14ac:dyDescent="0.15"/>
    <row r="333" s="12" customFormat="1" x14ac:dyDescent="0.15"/>
    <row r="334" s="12" customFormat="1" x14ac:dyDescent="0.15"/>
    <row r="335" s="12" customFormat="1" x14ac:dyDescent="0.15"/>
    <row r="336" s="12" customFormat="1" x14ac:dyDescent="0.15"/>
    <row r="337" s="12" customFormat="1" x14ac:dyDescent="0.15"/>
    <row r="338" s="12" customFormat="1" x14ac:dyDescent="0.15"/>
    <row r="339" s="12" customFormat="1" x14ac:dyDescent="0.15"/>
    <row r="340" s="12" customFormat="1" x14ac:dyDescent="0.15"/>
    <row r="341" s="12" customFormat="1" x14ac:dyDescent="0.15"/>
    <row r="342" s="12" customFormat="1" x14ac:dyDescent="0.15"/>
    <row r="343" s="12" customFormat="1" x14ac:dyDescent="0.15"/>
    <row r="344" s="12" customFormat="1" x14ac:dyDescent="0.15"/>
    <row r="345" s="12" customFormat="1" x14ac:dyDescent="0.15"/>
    <row r="346" s="12" customFormat="1" x14ac:dyDescent="0.15"/>
    <row r="347" s="12" customFormat="1" x14ac:dyDescent="0.15"/>
    <row r="348" s="12" customFormat="1" x14ac:dyDescent="0.15"/>
    <row r="349" s="12" customFormat="1" x14ac:dyDescent="0.15"/>
    <row r="350" s="12" customFormat="1" x14ac:dyDescent="0.15"/>
    <row r="351" s="12" customFormat="1" x14ac:dyDescent="0.15"/>
    <row r="352" s="12" customFormat="1" x14ac:dyDescent="0.15"/>
    <row r="353" s="12" customFormat="1" x14ac:dyDescent="0.15"/>
    <row r="354" s="12" customFormat="1" x14ac:dyDescent="0.15"/>
    <row r="355" s="12" customFormat="1" x14ac:dyDescent="0.15"/>
    <row r="356" s="12" customFormat="1" x14ac:dyDescent="0.15"/>
    <row r="357" s="12" customFormat="1" x14ac:dyDescent="0.15"/>
    <row r="358" s="12" customFormat="1" x14ac:dyDescent="0.15"/>
    <row r="359" s="12" customFormat="1" x14ac:dyDescent="0.15"/>
  </sheetData>
  <phoneticPr fontId="1" type="noConversion"/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Sheet2!$A$2:$A$22</xm:f>
          </x14:formula1>
          <xm:sqref>A2</xm:sqref>
        </x14:dataValidation>
        <x14:dataValidation type="list" allowBlank="1" showInputMessage="1" showErrorMessage="1">
          <x14:formula1>
            <xm:f>Sheet2!$P$2:$P$22</xm:f>
          </x14:formula1>
          <xm:sqref>B2</xm:sqref>
        </x14:dataValidation>
        <x14:dataValidation type="list" allowBlank="1" showInputMessage="1" showErrorMessage="1">
          <x14:formula1>
            <xm:f>Sheet2!$Q$2:$Q$22</xm:f>
          </x14:formula1>
          <xm:sqref>C2</xm:sqref>
        </x14:dataValidation>
        <x14:dataValidation type="list" allowBlank="1" showInputMessage="1" showErrorMessage="1">
          <x14:formula1>
            <xm:f>Sheet2!$R$2:$R$22</xm:f>
          </x14:formula1>
          <xm:sqref>D2</xm:sqref>
        </x14:dataValidation>
        <x14:dataValidation type="list" allowBlank="1" showInputMessage="1" showErrorMessage="1">
          <x14:formula1>
            <xm:f>Sheet2!$S$2:$S$22</xm:f>
          </x14:formula1>
          <xm:sqref>E2</xm:sqref>
        </x14:dataValidation>
        <x14:dataValidation type="list" allowBlank="1" showInputMessage="1" showErrorMessage="1">
          <x14:formula1>
            <xm:f>Sheet2!$T$2:$T$22</xm:f>
          </x14:formula1>
          <xm:sqref>F2</xm:sqref>
        </x14:dataValidation>
        <x14:dataValidation type="list" allowBlank="1" showInputMessage="1" showErrorMessage="1">
          <x14:formula1>
            <xm:f>Sheet2!$U$2:$U$22</xm:f>
          </x14:formula1>
          <xm:sqref>G2</xm:sqref>
        </x14:dataValidation>
        <x14:dataValidation type="list" allowBlank="1" showInputMessage="1" showErrorMessage="1">
          <x14:formula1>
            <xm:f>Sheet2!$A$27:$A$202</xm:f>
          </x14:formula1>
          <xm:sqref>A6 C6:D6</xm:sqref>
        </x14:dataValidation>
        <x14:dataValidation type="list" allowBlank="1" showInputMessage="1" showErrorMessage="1">
          <x14:formula1>
            <xm:f>Sheet2!$A$204:$A$206</xm:f>
          </x14:formula1>
          <xm:sqref>A8</xm:sqref>
        </x14:dataValidation>
        <x14:dataValidation type="list" allowBlank="1" showInputMessage="1" showErrorMessage="1">
          <x14:formula1>
            <xm:f>Sheet2!$A$208:$A$224</xm:f>
          </x14:formula1>
          <xm:sqref>G8</xm:sqref>
        </x14:dataValidation>
        <x14:dataValidation type="list" allowBlank="1" showInputMessage="1" showErrorMessage="1">
          <x14:formula1>
            <xm:f>Sheet2!$A$226:$A$240</xm:f>
          </x14:formula1>
          <xm:sqref>C10</xm:sqref>
        </x14:dataValidation>
      </x14:dataValidation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0"/>
  <sheetViews>
    <sheetView workbookViewId="0">
      <selection activeCell="O19" sqref="O19"/>
    </sheetView>
  </sheetViews>
  <sheetFormatPr defaultRowHeight="13.5" x14ac:dyDescent="0.15"/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15">
      <c r="A2" s="1">
        <v>0</v>
      </c>
      <c r="B2" s="1">
        <v>80</v>
      </c>
      <c r="C2" s="1">
        <v>80</v>
      </c>
      <c r="D2" s="1">
        <v>0</v>
      </c>
      <c r="E2" s="1">
        <v>15</v>
      </c>
      <c r="F2" s="1">
        <v>5</v>
      </c>
      <c r="G2" s="1">
        <v>5</v>
      </c>
      <c r="H2" s="1">
        <v>25</v>
      </c>
      <c r="I2" s="1">
        <v>100</v>
      </c>
      <c r="J2" s="1">
        <v>10</v>
      </c>
      <c r="K2" s="1">
        <v>10</v>
      </c>
      <c r="L2" s="1">
        <v>10</v>
      </c>
      <c r="M2" s="1">
        <v>10</v>
      </c>
      <c r="N2" s="1">
        <v>10</v>
      </c>
      <c r="O2">
        <f>A2*5/20</f>
        <v>0</v>
      </c>
      <c r="P2" s="1">
        <v>1</v>
      </c>
      <c r="Q2" s="1">
        <v>0.5</v>
      </c>
      <c r="R2" s="1">
        <v>0.5</v>
      </c>
      <c r="S2" s="1">
        <v>0.5</v>
      </c>
      <c r="T2" s="1">
        <v>0.5</v>
      </c>
      <c r="U2" s="1">
        <v>0.5</v>
      </c>
    </row>
    <row r="3" spans="1:21" x14ac:dyDescent="0.15">
      <c r="A3" s="1">
        <v>10</v>
      </c>
      <c r="B3" s="1">
        <f>A3*15</f>
        <v>150</v>
      </c>
      <c r="C3" s="1">
        <f>A3*15</f>
        <v>150</v>
      </c>
      <c r="D3" s="1">
        <v>0</v>
      </c>
      <c r="E3" s="1">
        <f>A3*2</f>
        <v>20</v>
      </c>
      <c r="F3" s="1">
        <f>A3*6</f>
        <v>60</v>
      </c>
      <c r="G3" s="1">
        <f>A3*4</f>
        <v>40</v>
      </c>
      <c r="H3" s="1">
        <f>A3*8</f>
        <v>80</v>
      </c>
      <c r="I3" s="1">
        <v>200</v>
      </c>
      <c r="J3" s="1">
        <v>32</v>
      </c>
      <c r="K3" s="1">
        <v>32</v>
      </c>
      <c r="L3" s="1">
        <v>50</v>
      </c>
      <c r="M3" s="1">
        <v>32</v>
      </c>
      <c r="N3" s="1">
        <v>32</v>
      </c>
      <c r="O3">
        <v>0</v>
      </c>
      <c r="P3" s="1">
        <v>2</v>
      </c>
      <c r="Q3" s="1">
        <v>0.6</v>
      </c>
      <c r="R3" s="1">
        <v>0.6</v>
      </c>
      <c r="S3" s="1">
        <v>0.6</v>
      </c>
      <c r="T3" s="1">
        <v>0.6</v>
      </c>
      <c r="U3" s="1">
        <v>0.6</v>
      </c>
    </row>
    <row r="4" spans="1:21" x14ac:dyDescent="0.15">
      <c r="A4" s="1">
        <v>20</v>
      </c>
      <c r="B4" s="1">
        <f t="shared" ref="B4:B22" si="0">A4*15</f>
        <v>300</v>
      </c>
      <c r="C4" s="1">
        <f t="shared" ref="C4:C22" si="1">A4*15</f>
        <v>300</v>
      </c>
      <c r="D4" s="1">
        <v>0</v>
      </c>
      <c r="E4" s="1">
        <f t="shared" ref="E4:E22" si="2">A4*2</f>
        <v>40</v>
      </c>
      <c r="F4" s="1">
        <f t="shared" ref="F4:F22" si="3">A4*6</f>
        <v>120</v>
      </c>
      <c r="G4" s="1">
        <f t="shared" ref="G4:G22" si="4">A4*4</f>
        <v>80</v>
      </c>
      <c r="H4" s="1">
        <f t="shared" ref="H4:H22" si="5">A4*8</f>
        <v>160</v>
      </c>
      <c r="I4" s="1">
        <v>300</v>
      </c>
      <c r="J4" s="1">
        <v>54</v>
      </c>
      <c r="K4" s="1">
        <v>54</v>
      </c>
      <c r="L4" s="1">
        <v>100</v>
      </c>
      <c r="M4" s="1">
        <v>54</v>
      </c>
      <c r="N4" s="1">
        <v>54</v>
      </c>
      <c r="O4">
        <v>0</v>
      </c>
      <c r="P4" s="1">
        <v>3</v>
      </c>
      <c r="Q4" s="1">
        <v>0.7</v>
      </c>
      <c r="R4" s="1">
        <v>0.7</v>
      </c>
      <c r="S4" s="1">
        <v>0.7</v>
      </c>
      <c r="T4" s="1">
        <v>0.7</v>
      </c>
      <c r="U4" s="1">
        <v>0.7</v>
      </c>
    </row>
    <row r="5" spans="1:21" x14ac:dyDescent="0.15">
      <c r="A5" s="1">
        <v>30</v>
      </c>
      <c r="B5" s="1">
        <f t="shared" si="0"/>
        <v>450</v>
      </c>
      <c r="C5" s="1">
        <f t="shared" si="1"/>
        <v>450</v>
      </c>
      <c r="D5" s="1">
        <v>0</v>
      </c>
      <c r="E5" s="1">
        <f t="shared" si="2"/>
        <v>60</v>
      </c>
      <c r="F5" s="1">
        <f t="shared" si="3"/>
        <v>180</v>
      </c>
      <c r="G5" s="1">
        <f t="shared" si="4"/>
        <v>120</v>
      </c>
      <c r="H5" s="1">
        <f t="shared" si="5"/>
        <v>240</v>
      </c>
      <c r="I5" s="1">
        <v>400</v>
      </c>
      <c r="J5" s="1">
        <v>76</v>
      </c>
      <c r="K5" s="1">
        <v>76</v>
      </c>
      <c r="L5" s="1">
        <v>150</v>
      </c>
      <c r="M5" s="1">
        <v>76</v>
      </c>
      <c r="N5" s="1">
        <v>76</v>
      </c>
      <c r="O5">
        <v>0</v>
      </c>
      <c r="P5" s="1">
        <v>4</v>
      </c>
      <c r="Q5" s="1">
        <v>0.8</v>
      </c>
      <c r="R5" s="1">
        <v>0.8</v>
      </c>
      <c r="S5" s="1">
        <v>0.8</v>
      </c>
      <c r="T5" s="1">
        <v>0.8</v>
      </c>
      <c r="U5" s="1">
        <v>0.8</v>
      </c>
    </row>
    <row r="6" spans="1:21" x14ac:dyDescent="0.15">
      <c r="A6" s="1">
        <v>40</v>
      </c>
      <c r="B6" s="1">
        <f t="shared" si="0"/>
        <v>600</v>
      </c>
      <c r="C6" s="1">
        <f t="shared" si="1"/>
        <v>600</v>
      </c>
      <c r="D6" s="1">
        <v>0</v>
      </c>
      <c r="E6" s="1">
        <f t="shared" si="2"/>
        <v>80</v>
      </c>
      <c r="F6" s="1">
        <f t="shared" si="3"/>
        <v>240</v>
      </c>
      <c r="G6" s="1">
        <f t="shared" si="4"/>
        <v>160</v>
      </c>
      <c r="H6" s="1">
        <f t="shared" si="5"/>
        <v>320</v>
      </c>
      <c r="I6" s="1">
        <v>500</v>
      </c>
      <c r="J6" s="1">
        <v>98</v>
      </c>
      <c r="K6" s="1">
        <v>98</v>
      </c>
      <c r="L6" s="1">
        <v>200</v>
      </c>
      <c r="M6" s="1">
        <v>98</v>
      </c>
      <c r="N6" s="1">
        <v>98</v>
      </c>
      <c r="O6">
        <v>0</v>
      </c>
      <c r="P6" s="1">
        <v>5</v>
      </c>
      <c r="Q6" s="1">
        <v>0.9</v>
      </c>
      <c r="R6" s="1">
        <v>0.9</v>
      </c>
      <c r="S6" s="1">
        <v>0.9</v>
      </c>
      <c r="T6" s="1">
        <v>0.9</v>
      </c>
      <c r="U6" s="1">
        <v>0.9</v>
      </c>
    </row>
    <row r="7" spans="1:21" x14ac:dyDescent="0.15">
      <c r="A7" s="1">
        <v>50</v>
      </c>
      <c r="B7" s="1">
        <f t="shared" si="0"/>
        <v>750</v>
      </c>
      <c r="C7" s="1">
        <f t="shared" si="1"/>
        <v>750</v>
      </c>
      <c r="D7" s="1">
        <v>0</v>
      </c>
      <c r="E7" s="1">
        <f t="shared" si="2"/>
        <v>100</v>
      </c>
      <c r="F7" s="1">
        <f t="shared" si="3"/>
        <v>300</v>
      </c>
      <c r="G7" s="1">
        <f t="shared" si="4"/>
        <v>200</v>
      </c>
      <c r="H7" s="1">
        <f t="shared" si="5"/>
        <v>400</v>
      </c>
      <c r="I7" s="1">
        <v>600</v>
      </c>
      <c r="J7" s="1">
        <v>120</v>
      </c>
      <c r="K7" s="1">
        <v>120</v>
      </c>
      <c r="L7" s="1">
        <v>250</v>
      </c>
      <c r="M7" s="1">
        <v>120</v>
      </c>
      <c r="N7" s="1">
        <v>120</v>
      </c>
      <c r="O7">
        <v>6</v>
      </c>
      <c r="P7" s="1">
        <v>6</v>
      </c>
      <c r="Q7" s="1">
        <v>1</v>
      </c>
      <c r="R7" s="1">
        <v>1</v>
      </c>
      <c r="S7" s="1">
        <v>1</v>
      </c>
      <c r="T7" s="1">
        <v>1</v>
      </c>
      <c r="U7" s="1">
        <v>1</v>
      </c>
    </row>
    <row r="8" spans="1:21" x14ac:dyDescent="0.15">
      <c r="A8" s="1">
        <v>60</v>
      </c>
      <c r="B8" s="1">
        <f t="shared" si="0"/>
        <v>900</v>
      </c>
      <c r="C8" s="1">
        <f t="shared" si="1"/>
        <v>900</v>
      </c>
      <c r="D8" s="1">
        <v>0</v>
      </c>
      <c r="E8" s="1">
        <f t="shared" si="2"/>
        <v>120</v>
      </c>
      <c r="F8" s="1">
        <f t="shared" si="3"/>
        <v>360</v>
      </c>
      <c r="G8" s="1">
        <f t="shared" si="4"/>
        <v>240</v>
      </c>
      <c r="H8" s="1">
        <f t="shared" si="5"/>
        <v>480</v>
      </c>
      <c r="I8" s="1">
        <v>700</v>
      </c>
      <c r="J8" s="1">
        <v>142</v>
      </c>
      <c r="K8" s="1">
        <v>142</v>
      </c>
      <c r="L8" s="1">
        <v>300</v>
      </c>
      <c r="M8" s="1">
        <v>142</v>
      </c>
      <c r="N8" s="1">
        <v>142</v>
      </c>
      <c r="O8">
        <v>8</v>
      </c>
      <c r="P8" s="1">
        <v>7</v>
      </c>
      <c r="Q8" s="1">
        <v>1.1000000000000001</v>
      </c>
      <c r="R8" s="1">
        <v>1.1000000000000001</v>
      </c>
      <c r="S8" s="1">
        <v>1.1000000000000001</v>
      </c>
      <c r="T8" s="1">
        <v>1.1000000000000001</v>
      </c>
      <c r="U8" s="1">
        <v>1.1000000000000001</v>
      </c>
    </row>
    <row r="9" spans="1:21" x14ac:dyDescent="0.15">
      <c r="A9" s="1">
        <v>70</v>
      </c>
      <c r="B9" s="1">
        <f t="shared" si="0"/>
        <v>1050</v>
      </c>
      <c r="C9" s="1">
        <f t="shared" si="1"/>
        <v>1050</v>
      </c>
      <c r="D9" s="1">
        <v>0</v>
      </c>
      <c r="E9" s="1">
        <f t="shared" si="2"/>
        <v>140</v>
      </c>
      <c r="F9" s="1">
        <f t="shared" si="3"/>
        <v>420</v>
      </c>
      <c r="G9" s="1">
        <f t="shared" si="4"/>
        <v>280</v>
      </c>
      <c r="H9" s="1">
        <f t="shared" si="5"/>
        <v>560</v>
      </c>
      <c r="I9" s="1">
        <v>800</v>
      </c>
      <c r="J9" s="1">
        <v>164</v>
      </c>
      <c r="K9" s="1">
        <v>164</v>
      </c>
      <c r="L9" s="1">
        <v>350</v>
      </c>
      <c r="M9" s="1">
        <v>164</v>
      </c>
      <c r="N9" s="1">
        <v>164</v>
      </c>
      <c r="O9">
        <v>10</v>
      </c>
      <c r="P9" s="1">
        <v>8</v>
      </c>
      <c r="Q9" s="1">
        <v>1.2</v>
      </c>
      <c r="R9" s="1">
        <v>1.2</v>
      </c>
      <c r="S9" s="1">
        <v>1.2</v>
      </c>
      <c r="T9" s="1">
        <v>1.2</v>
      </c>
      <c r="U9" s="1">
        <v>1.2</v>
      </c>
    </row>
    <row r="10" spans="1:21" x14ac:dyDescent="0.15">
      <c r="A10" s="1">
        <v>80</v>
      </c>
      <c r="B10" s="1">
        <f t="shared" si="0"/>
        <v>1200</v>
      </c>
      <c r="C10" s="1">
        <f t="shared" si="1"/>
        <v>1200</v>
      </c>
      <c r="D10" s="1">
        <v>0</v>
      </c>
      <c r="E10" s="1">
        <f t="shared" si="2"/>
        <v>160</v>
      </c>
      <c r="F10" s="1">
        <f t="shared" si="3"/>
        <v>480</v>
      </c>
      <c r="G10" s="1">
        <f t="shared" si="4"/>
        <v>320</v>
      </c>
      <c r="H10" s="1">
        <f t="shared" si="5"/>
        <v>640</v>
      </c>
      <c r="I10" s="1">
        <v>900</v>
      </c>
      <c r="J10" s="1">
        <v>186</v>
      </c>
      <c r="K10" s="1">
        <v>186</v>
      </c>
      <c r="L10" s="1">
        <v>400</v>
      </c>
      <c r="M10" s="1">
        <v>186</v>
      </c>
      <c r="N10" s="1">
        <v>186</v>
      </c>
      <c r="O10">
        <v>12</v>
      </c>
      <c r="P10" s="1">
        <v>9</v>
      </c>
      <c r="Q10" s="1">
        <v>1.3</v>
      </c>
      <c r="R10" s="1">
        <v>1.3</v>
      </c>
      <c r="S10" s="1">
        <v>1.3</v>
      </c>
      <c r="T10" s="1">
        <v>1.3</v>
      </c>
      <c r="U10" s="1">
        <v>1.3</v>
      </c>
    </row>
    <row r="11" spans="1:21" x14ac:dyDescent="0.15">
      <c r="A11" s="1">
        <v>90</v>
      </c>
      <c r="B11" s="1">
        <f t="shared" si="0"/>
        <v>1350</v>
      </c>
      <c r="C11" s="1">
        <f t="shared" si="1"/>
        <v>1350</v>
      </c>
      <c r="D11" s="1">
        <v>0</v>
      </c>
      <c r="E11" s="1">
        <f t="shared" si="2"/>
        <v>180</v>
      </c>
      <c r="F11" s="1">
        <f t="shared" si="3"/>
        <v>540</v>
      </c>
      <c r="G11" s="1">
        <f t="shared" si="4"/>
        <v>360</v>
      </c>
      <c r="H11" s="1">
        <f t="shared" si="5"/>
        <v>720</v>
      </c>
      <c r="I11" s="1">
        <v>1000</v>
      </c>
      <c r="J11" s="1">
        <v>208</v>
      </c>
      <c r="K11" s="1">
        <v>208</v>
      </c>
      <c r="L11" s="1">
        <v>450</v>
      </c>
      <c r="M11" s="1">
        <v>208</v>
      </c>
      <c r="N11" s="1">
        <v>208</v>
      </c>
      <c r="O11">
        <v>14</v>
      </c>
      <c r="P11" s="1">
        <v>10</v>
      </c>
      <c r="Q11" s="1">
        <v>1.4</v>
      </c>
      <c r="R11" s="1">
        <v>1.4</v>
      </c>
      <c r="S11" s="1">
        <v>1.4</v>
      </c>
      <c r="T11" s="1">
        <v>1.4</v>
      </c>
      <c r="U11" s="1">
        <v>1.4</v>
      </c>
    </row>
    <row r="12" spans="1:21" x14ac:dyDescent="0.15">
      <c r="A12" s="1">
        <v>100</v>
      </c>
      <c r="B12" s="1">
        <f t="shared" si="0"/>
        <v>1500</v>
      </c>
      <c r="C12" s="1">
        <f t="shared" si="1"/>
        <v>1500</v>
      </c>
      <c r="D12" s="1">
        <v>0</v>
      </c>
      <c r="E12" s="1">
        <f t="shared" si="2"/>
        <v>200</v>
      </c>
      <c r="F12" s="1">
        <f t="shared" si="3"/>
        <v>600</v>
      </c>
      <c r="G12" s="1">
        <f t="shared" si="4"/>
        <v>400</v>
      </c>
      <c r="H12" s="1">
        <f t="shared" si="5"/>
        <v>800</v>
      </c>
      <c r="I12" s="1">
        <v>1100</v>
      </c>
      <c r="J12" s="1">
        <v>230</v>
      </c>
      <c r="K12" s="1">
        <v>230</v>
      </c>
      <c r="L12" s="1">
        <v>500</v>
      </c>
      <c r="M12" s="1">
        <v>230</v>
      </c>
      <c r="N12" s="1">
        <v>230</v>
      </c>
      <c r="O12">
        <v>16</v>
      </c>
      <c r="P12" s="1">
        <v>11</v>
      </c>
      <c r="Q12" s="1">
        <v>1.5</v>
      </c>
      <c r="R12" s="1">
        <v>1.5</v>
      </c>
      <c r="S12" s="1">
        <v>1.5</v>
      </c>
      <c r="T12" s="1">
        <v>1.5</v>
      </c>
      <c r="U12" s="1">
        <v>1.5</v>
      </c>
    </row>
    <row r="13" spans="1:21" x14ac:dyDescent="0.15">
      <c r="A13" s="1">
        <v>110</v>
      </c>
      <c r="B13" s="1">
        <f t="shared" si="0"/>
        <v>1650</v>
      </c>
      <c r="C13" s="1">
        <f t="shared" si="1"/>
        <v>1650</v>
      </c>
      <c r="D13" s="1">
        <v>0</v>
      </c>
      <c r="E13" s="1">
        <f t="shared" si="2"/>
        <v>220</v>
      </c>
      <c r="F13" s="1">
        <f t="shared" si="3"/>
        <v>660</v>
      </c>
      <c r="G13" s="1">
        <f t="shared" si="4"/>
        <v>440</v>
      </c>
      <c r="H13" s="1">
        <f t="shared" si="5"/>
        <v>880</v>
      </c>
      <c r="I13" s="1">
        <v>1200</v>
      </c>
      <c r="J13" s="1">
        <v>252</v>
      </c>
      <c r="K13" s="1">
        <v>252</v>
      </c>
      <c r="L13" s="1">
        <v>550</v>
      </c>
      <c r="M13" s="1">
        <v>252</v>
      </c>
      <c r="N13" s="1">
        <v>252</v>
      </c>
      <c r="O13">
        <v>18</v>
      </c>
      <c r="P13" s="1">
        <v>12</v>
      </c>
      <c r="Q13" s="1">
        <v>1.6</v>
      </c>
      <c r="R13" s="1">
        <v>1.6</v>
      </c>
      <c r="S13" s="1">
        <v>1.6</v>
      </c>
      <c r="T13" s="1">
        <v>1.6</v>
      </c>
      <c r="U13" s="1">
        <v>1.6</v>
      </c>
    </row>
    <row r="14" spans="1:21" x14ac:dyDescent="0.15">
      <c r="A14" s="1">
        <v>120</v>
      </c>
      <c r="B14" s="1">
        <f t="shared" si="0"/>
        <v>1800</v>
      </c>
      <c r="C14" s="1">
        <f t="shared" si="1"/>
        <v>1800</v>
      </c>
      <c r="D14" s="1">
        <v>0</v>
      </c>
      <c r="E14" s="1">
        <f t="shared" si="2"/>
        <v>240</v>
      </c>
      <c r="F14" s="1">
        <f t="shared" si="3"/>
        <v>720</v>
      </c>
      <c r="G14" s="1">
        <f t="shared" si="4"/>
        <v>480</v>
      </c>
      <c r="H14" s="1">
        <f t="shared" si="5"/>
        <v>960</v>
      </c>
      <c r="I14" s="1">
        <v>1300</v>
      </c>
      <c r="J14" s="1">
        <v>274</v>
      </c>
      <c r="K14" s="1">
        <v>274</v>
      </c>
      <c r="L14" s="1">
        <v>600</v>
      </c>
      <c r="M14" s="1">
        <v>274</v>
      </c>
      <c r="N14" s="1">
        <v>274</v>
      </c>
      <c r="O14">
        <v>20</v>
      </c>
      <c r="P14" s="1">
        <v>13</v>
      </c>
      <c r="Q14" s="1">
        <v>1.7</v>
      </c>
      <c r="R14" s="1">
        <v>1.7</v>
      </c>
      <c r="S14" s="1">
        <v>1.7</v>
      </c>
      <c r="T14" s="1">
        <v>1.7</v>
      </c>
      <c r="U14" s="1">
        <v>1.7</v>
      </c>
    </row>
    <row r="15" spans="1:21" x14ac:dyDescent="0.15">
      <c r="A15" s="1">
        <v>130</v>
      </c>
      <c r="B15" s="1">
        <f t="shared" si="0"/>
        <v>1950</v>
      </c>
      <c r="C15" s="1">
        <f t="shared" si="1"/>
        <v>1950</v>
      </c>
      <c r="D15" s="1">
        <v>0</v>
      </c>
      <c r="E15" s="1">
        <f t="shared" si="2"/>
        <v>260</v>
      </c>
      <c r="F15" s="1">
        <f t="shared" si="3"/>
        <v>780</v>
      </c>
      <c r="G15" s="1">
        <f t="shared" si="4"/>
        <v>520</v>
      </c>
      <c r="H15" s="1">
        <f t="shared" si="5"/>
        <v>1040</v>
      </c>
      <c r="I15" s="1">
        <v>1400</v>
      </c>
      <c r="J15" s="1">
        <v>296</v>
      </c>
      <c r="K15" s="1">
        <v>296</v>
      </c>
      <c r="L15" s="1">
        <v>650</v>
      </c>
      <c r="M15" s="1">
        <v>296</v>
      </c>
      <c r="N15" s="1">
        <v>296</v>
      </c>
      <c r="O15">
        <v>20</v>
      </c>
      <c r="P15" s="1">
        <v>14</v>
      </c>
      <c r="Q15" s="1">
        <v>1.8</v>
      </c>
      <c r="R15" s="1">
        <v>1.8</v>
      </c>
      <c r="S15" s="1">
        <v>1.8</v>
      </c>
      <c r="T15" s="1">
        <v>1.8</v>
      </c>
      <c r="U15" s="1">
        <v>1.8</v>
      </c>
    </row>
    <row r="16" spans="1:21" x14ac:dyDescent="0.15">
      <c r="A16" s="1">
        <v>140</v>
      </c>
      <c r="B16" s="1">
        <f t="shared" si="0"/>
        <v>2100</v>
      </c>
      <c r="C16" s="1">
        <f t="shared" si="1"/>
        <v>2100</v>
      </c>
      <c r="D16" s="1">
        <v>0</v>
      </c>
      <c r="E16" s="1">
        <f t="shared" si="2"/>
        <v>280</v>
      </c>
      <c r="F16" s="1">
        <f t="shared" si="3"/>
        <v>840</v>
      </c>
      <c r="G16" s="1">
        <f t="shared" si="4"/>
        <v>560</v>
      </c>
      <c r="H16" s="1">
        <f t="shared" si="5"/>
        <v>1120</v>
      </c>
      <c r="I16" s="1">
        <v>1500</v>
      </c>
      <c r="J16" s="1">
        <v>318</v>
      </c>
      <c r="K16" s="1">
        <v>318</v>
      </c>
      <c r="L16" s="1">
        <v>700</v>
      </c>
      <c r="M16" s="1">
        <v>318</v>
      </c>
      <c r="N16" s="1">
        <v>318</v>
      </c>
      <c r="O16">
        <v>20</v>
      </c>
      <c r="P16" s="1">
        <v>15</v>
      </c>
      <c r="Q16" s="1">
        <v>1.9</v>
      </c>
      <c r="R16" s="1">
        <v>1.9</v>
      </c>
      <c r="S16" s="1">
        <v>1.9</v>
      </c>
      <c r="T16" s="1">
        <v>1.9</v>
      </c>
      <c r="U16" s="1">
        <v>1.9</v>
      </c>
    </row>
    <row r="17" spans="1:36" x14ac:dyDescent="0.15">
      <c r="A17" s="1">
        <v>150</v>
      </c>
      <c r="B17" s="1">
        <f t="shared" si="0"/>
        <v>2250</v>
      </c>
      <c r="C17" s="1">
        <f t="shared" si="1"/>
        <v>2250</v>
      </c>
      <c r="D17" s="1">
        <v>0</v>
      </c>
      <c r="E17" s="1">
        <f t="shared" si="2"/>
        <v>300</v>
      </c>
      <c r="F17" s="1">
        <f t="shared" si="3"/>
        <v>900</v>
      </c>
      <c r="G17" s="1">
        <f t="shared" si="4"/>
        <v>600</v>
      </c>
      <c r="H17" s="1">
        <f t="shared" si="5"/>
        <v>1200</v>
      </c>
      <c r="I17" s="1">
        <v>1600</v>
      </c>
      <c r="J17" s="1">
        <v>340</v>
      </c>
      <c r="K17" s="1">
        <v>340</v>
      </c>
      <c r="L17" s="1">
        <v>750</v>
      </c>
      <c r="M17" s="1">
        <v>340</v>
      </c>
      <c r="N17" s="1">
        <v>340</v>
      </c>
      <c r="O17" s="1">
        <v>21</v>
      </c>
      <c r="P17" s="1">
        <v>16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</row>
    <row r="18" spans="1:36" x14ac:dyDescent="0.15">
      <c r="A18" s="1">
        <v>160</v>
      </c>
      <c r="B18" s="1">
        <f t="shared" si="0"/>
        <v>2400</v>
      </c>
      <c r="C18" s="1">
        <f t="shared" si="1"/>
        <v>2400</v>
      </c>
      <c r="D18" s="1">
        <v>0</v>
      </c>
      <c r="E18" s="1">
        <f t="shared" si="2"/>
        <v>320</v>
      </c>
      <c r="F18" s="1">
        <f t="shared" si="3"/>
        <v>960</v>
      </c>
      <c r="G18" s="1">
        <f t="shared" si="4"/>
        <v>640</v>
      </c>
      <c r="H18" s="1">
        <f t="shared" si="5"/>
        <v>1280</v>
      </c>
      <c r="I18" s="1">
        <v>1700</v>
      </c>
      <c r="J18" s="1">
        <v>362</v>
      </c>
      <c r="K18" s="1">
        <v>362</v>
      </c>
      <c r="L18" s="1">
        <v>800</v>
      </c>
      <c r="M18" s="1">
        <v>362</v>
      </c>
      <c r="N18" s="1">
        <v>362</v>
      </c>
      <c r="O18">
        <v>23</v>
      </c>
      <c r="P18" s="1">
        <v>17</v>
      </c>
      <c r="Q18" s="1">
        <v>2.1</v>
      </c>
      <c r="R18" s="1">
        <v>2.1</v>
      </c>
      <c r="S18" s="1">
        <v>2.1</v>
      </c>
      <c r="T18" s="1">
        <v>2.1</v>
      </c>
      <c r="U18" s="1">
        <v>2.1</v>
      </c>
    </row>
    <row r="19" spans="1:36" x14ac:dyDescent="0.15">
      <c r="A19" s="1">
        <v>170</v>
      </c>
      <c r="B19" s="1">
        <f t="shared" si="0"/>
        <v>2550</v>
      </c>
      <c r="C19" s="1">
        <f t="shared" si="1"/>
        <v>2550</v>
      </c>
      <c r="D19" s="1">
        <v>0</v>
      </c>
      <c r="E19" s="1">
        <f t="shared" si="2"/>
        <v>340</v>
      </c>
      <c r="F19" s="1">
        <f t="shared" si="3"/>
        <v>1020</v>
      </c>
      <c r="G19" s="1">
        <f t="shared" si="4"/>
        <v>680</v>
      </c>
      <c r="H19" s="1">
        <f t="shared" si="5"/>
        <v>1360</v>
      </c>
      <c r="I19" s="1">
        <v>1800</v>
      </c>
      <c r="J19" s="1">
        <v>384</v>
      </c>
      <c r="K19" s="1">
        <v>384</v>
      </c>
      <c r="L19" s="1">
        <v>850</v>
      </c>
      <c r="M19" s="1">
        <v>384</v>
      </c>
      <c r="N19" s="1">
        <v>384</v>
      </c>
      <c r="O19">
        <v>25</v>
      </c>
      <c r="P19" s="1">
        <v>18</v>
      </c>
      <c r="Q19" s="1">
        <v>2.2000000000000002</v>
      </c>
      <c r="R19" s="1">
        <v>2.2000000000000002</v>
      </c>
      <c r="S19" s="1">
        <v>2.2000000000000002</v>
      </c>
      <c r="T19" s="1">
        <v>2.2000000000000002</v>
      </c>
      <c r="U19" s="1">
        <v>2.2000000000000002</v>
      </c>
    </row>
    <row r="20" spans="1:36" x14ac:dyDescent="0.15">
      <c r="A20" s="1">
        <v>180</v>
      </c>
      <c r="B20" s="1">
        <f t="shared" si="0"/>
        <v>2700</v>
      </c>
      <c r="C20" s="1">
        <f t="shared" si="1"/>
        <v>2700</v>
      </c>
      <c r="D20" s="1">
        <v>0</v>
      </c>
      <c r="E20" s="1">
        <f t="shared" si="2"/>
        <v>360</v>
      </c>
      <c r="F20" s="1">
        <f t="shared" si="3"/>
        <v>1080</v>
      </c>
      <c r="G20" s="1">
        <f t="shared" si="4"/>
        <v>720</v>
      </c>
      <c r="H20" s="1">
        <f t="shared" si="5"/>
        <v>1440</v>
      </c>
      <c r="I20" s="1">
        <v>1900</v>
      </c>
      <c r="J20" s="1">
        <v>406</v>
      </c>
      <c r="K20" s="1">
        <v>406</v>
      </c>
      <c r="L20" s="1">
        <v>900</v>
      </c>
      <c r="M20" s="1">
        <v>406</v>
      </c>
      <c r="N20" s="1">
        <v>406</v>
      </c>
      <c r="O20">
        <v>25</v>
      </c>
      <c r="P20" s="1">
        <v>19</v>
      </c>
      <c r="Q20" s="1">
        <v>2.2999999999999998</v>
      </c>
      <c r="R20" s="1">
        <v>2.2999999999999998</v>
      </c>
      <c r="S20" s="1">
        <v>2.2999999999999998</v>
      </c>
      <c r="T20" s="1">
        <v>2.2999999999999998</v>
      </c>
      <c r="U20" s="1">
        <v>2.2999999999999998</v>
      </c>
    </row>
    <row r="21" spans="1:36" x14ac:dyDescent="0.15">
      <c r="A21" s="1">
        <v>190</v>
      </c>
      <c r="B21" s="1">
        <f t="shared" si="0"/>
        <v>2850</v>
      </c>
      <c r="C21" s="1">
        <f t="shared" si="1"/>
        <v>2850</v>
      </c>
      <c r="D21" s="1">
        <v>0</v>
      </c>
      <c r="E21" s="1">
        <f t="shared" si="2"/>
        <v>380</v>
      </c>
      <c r="F21" s="1">
        <f t="shared" si="3"/>
        <v>1140</v>
      </c>
      <c r="G21" s="1">
        <f t="shared" si="4"/>
        <v>760</v>
      </c>
      <c r="H21" s="1">
        <f t="shared" si="5"/>
        <v>1520</v>
      </c>
      <c r="I21" s="1">
        <v>2000</v>
      </c>
      <c r="J21" s="1">
        <v>428</v>
      </c>
      <c r="K21" s="1">
        <v>428</v>
      </c>
      <c r="L21" s="1">
        <v>950</v>
      </c>
      <c r="M21" s="1">
        <v>428</v>
      </c>
      <c r="N21" s="1">
        <v>428</v>
      </c>
      <c r="O21">
        <v>25</v>
      </c>
      <c r="P21" s="1">
        <v>20</v>
      </c>
      <c r="Q21" s="1">
        <v>2.4</v>
      </c>
      <c r="R21" s="1">
        <v>2.4</v>
      </c>
      <c r="S21" s="1">
        <v>2.4</v>
      </c>
      <c r="T21" s="1">
        <v>2.4</v>
      </c>
      <c r="U21" s="1">
        <v>2.4</v>
      </c>
    </row>
    <row r="22" spans="1:36" x14ac:dyDescent="0.15">
      <c r="A22" s="1">
        <v>200</v>
      </c>
      <c r="B22" s="1">
        <f t="shared" si="0"/>
        <v>3000</v>
      </c>
      <c r="C22" s="1">
        <f t="shared" si="1"/>
        <v>3000</v>
      </c>
      <c r="D22" s="1">
        <v>0</v>
      </c>
      <c r="E22" s="1">
        <f t="shared" si="2"/>
        <v>400</v>
      </c>
      <c r="F22" s="1">
        <f t="shared" si="3"/>
        <v>1200</v>
      </c>
      <c r="G22" s="1">
        <f t="shared" si="4"/>
        <v>800</v>
      </c>
      <c r="H22" s="1">
        <f t="shared" si="5"/>
        <v>1600</v>
      </c>
      <c r="I22" s="1">
        <v>2100</v>
      </c>
      <c r="J22" s="1">
        <v>450</v>
      </c>
      <c r="K22" s="1">
        <v>450</v>
      </c>
      <c r="L22" s="1">
        <v>1000</v>
      </c>
      <c r="M22" s="1">
        <v>450</v>
      </c>
      <c r="N22" s="1">
        <v>450</v>
      </c>
      <c r="O22">
        <v>25</v>
      </c>
      <c r="P22" s="1">
        <v>21</v>
      </c>
      <c r="Q22" s="1">
        <v>2.5</v>
      </c>
      <c r="R22" s="1">
        <v>2.5</v>
      </c>
      <c r="S22" s="1">
        <v>2.5</v>
      </c>
      <c r="T22" s="1">
        <v>2.5</v>
      </c>
      <c r="U22" s="1">
        <v>2.5</v>
      </c>
    </row>
    <row r="26" spans="1:36" x14ac:dyDescent="0.15">
      <c r="A26" t="s">
        <v>24</v>
      </c>
      <c r="B26" s="1" t="s">
        <v>41</v>
      </c>
      <c r="C26" s="1" t="s">
        <v>42</v>
      </c>
      <c r="D26" s="1" t="s">
        <v>25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49</v>
      </c>
      <c r="L26" s="1" t="s">
        <v>50</v>
      </c>
      <c r="M26" s="1" t="s">
        <v>51</v>
      </c>
      <c r="N26" s="1" t="s">
        <v>52</v>
      </c>
      <c r="O26" s="1" t="s">
        <v>27</v>
      </c>
      <c r="P26" s="1" t="s">
        <v>26</v>
      </c>
      <c r="Q26" s="1" t="s">
        <v>28</v>
      </c>
      <c r="R26" s="1" t="s">
        <v>29</v>
      </c>
      <c r="S26" s="1" t="s">
        <v>30</v>
      </c>
      <c r="T26" s="1" t="s">
        <v>31</v>
      </c>
      <c r="U26" s="1" t="s">
        <v>32</v>
      </c>
      <c r="V26" s="1" t="s">
        <v>33</v>
      </c>
      <c r="W26" s="1" t="s">
        <v>34</v>
      </c>
      <c r="X26" s="1" t="s">
        <v>35</v>
      </c>
      <c r="Y26" s="1" t="s">
        <v>30</v>
      </c>
      <c r="Z26" s="1" t="s">
        <v>36</v>
      </c>
      <c r="AA26" s="1" t="s">
        <v>30</v>
      </c>
      <c r="AB26" s="1" t="s">
        <v>36</v>
      </c>
      <c r="AC26" s="1" t="s">
        <v>37</v>
      </c>
      <c r="AD26" s="1" t="s">
        <v>38</v>
      </c>
      <c r="AE26" s="1" t="s">
        <v>30</v>
      </c>
      <c r="AF26" s="1" t="s">
        <v>36</v>
      </c>
      <c r="AG26" s="1" t="s">
        <v>39</v>
      </c>
      <c r="AH26" s="1" t="s">
        <v>40</v>
      </c>
      <c r="AI26" s="1" t="s">
        <v>15</v>
      </c>
      <c r="AJ26" t="s">
        <v>24</v>
      </c>
    </row>
    <row r="27" spans="1:36" x14ac:dyDescent="0.15">
      <c r="A27">
        <v>0</v>
      </c>
      <c r="B27" s="1">
        <f t="shared" ref="B27:E28" si="6">O27</f>
        <v>10</v>
      </c>
      <c r="C27" s="1">
        <f t="shared" si="6"/>
        <v>13</v>
      </c>
      <c r="D27" s="1">
        <f t="shared" si="6"/>
        <v>10</v>
      </c>
      <c r="E27" s="1">
        <f t="shared" si="6"/>
        <v>14</v>
      </c>
      <c r="F27" s="1">
        <f>S27+Y27+AA27+AE27</f>
        <v>25</v>
      </c>
      <c r="G27" s="1">
        <f>T27+Z27+AB27+AF27</f>
        <v>31</v>
      </c>
      <c r="H27">
        <f>W27</f>
        <v>5</v>
      </c>
      <c r="I27">
        <f>X27</f>
        <v>6</v>
      </c>
      <c r="J27">
        <f>AC27</f>
        <v>10</v>
      </c>
      <c r="K27">
        <f>AD27</f>
        <v>13</v>
      </c>
      <c r="L27">
        <f>AG27</f>
        <v>5</v>
      </c>
      <c r="M27">
        <f>AH27</f>
        <v>6</v>
      </c>
      <c r="N27">
        <f>V27</f>
        <v>6</v>
      </c>
      <c r="O27" s="1">
        <v>10</v>
      </c>
      <c r="P27" s="1">
        <v>13</v>
      </c>
      <c r="Q27" s="1">
        <v>10</v>
      </c>
      <c r="R27" s="1">
        <v>14</v>
      </c>
      <c r="S27" s="1">
        <v>5</v>
      </c>
      <c r="T27" s="1">
        <v>6</v>
      </c>
      <c r="U27" s="1">
        <v>5</v>
      </c>
      <c r="V27" s="1">
        <v>6</v>
      </c>
      <c r="W27" s="1">
        <v>5</v>
      </c>
      <c r="X27" s="1">
        <v>6</v>
      </c>
      <c r="Y27" s="1">
        <v>10</v>
      </c>
      <c r="Z27" s="1">
        <v>13</v>
      </c>
      <c r="AA27" s="1">
        <v>5</v>
      </c>
      <c r="AB27" s="1">
        <v>6</v>
      </c>
      <c r="AC27" s="1">
        <v>10</v>
      </c>
      <c r="AD27" s="1">
        <v>13</v>
      </c>
      <c r="AE27" s="1">
        <v>5</v>
      </c>
      <c r="AF27" s="1">
        <v>6</v>
      </c>
      <c r="AG27" s="1">
        <v>5</v>
      </c>
      <c r="AH27" s="1">
        <v>6</v>
      </c>
      <c r="AI27" s="1">
        <v>0</v>
      </c>
      <c r="AJ27">
        <v>0</v>
      </c>
    </row>
    <row r="28" spans="1:36" x14ac:dyDescent="0.15">
      <c r="A28">
        <v>1</v>
      </c>
      <c r="B28" s="1">
        <f t="shared" si="6"/>
        <v>10</v>
      </c>
      <c r="C28" s="1">
        <f t="shared" si="6"/>
        <v>13</v>
      </c>
      <c r="D28" s="1">
        <f t="shared" si="6"/>
        <v>10</v>
      </c>
      <c r="E28" s="1">
        <f t="shared" si="6"/>
        <v>14</v>
      </c>
      <c r="F28" s="1">
        <f>S28+Y28+AA28+AE28</f>
        <v>25</v>
      </c>
      <c r="G28" s="1">
        <f>T28+Z28+AB28+AF28</f>
        <v>31</v>
      </c>
      <c r="H28">
        <f>W28</f>
        <v>5</v>
      </c>
      <c r="I28">
        <f>X28</f>
        <v>6</v>
      </c>
      <c r="J28">
        <f>AC28</f>
        <v>10</v>
      </c>
      <c r="K28">
        <f>AD28</f>
        <v>13</v>
      </c>
      <c r="L28">
        <f>AG28</f>
        <v>5</v>
      </c>
      <c r="M28">
        <f>AH28</f>
        <v>6</v>
      </c>
      <c r="N28">
        <f>V28</f>
        <v>6</v>
      </c>
      <c r="O28" s="1">
        <v>10</v>
      </c>
      <c r="P28" s="1">
        <v>13</v>
      </c>
      <c r="Q28" s="1">
        <v>10</v>
      </c>
      <c r="R28" s="1">
        <v>14</v>
      </c>
      <c r="S28" s="1">
        <v>5</v>
      </c>
      <c r="T28" s="1">
        <v>6</v>
      </c>
      <c r="U28" s="1">
        <v>5</v>
      </c>
      <c r="V28" s="1">
        <v>6</v>
      </c>
      <c r="W28" s="1">
        <v>5</v>
      </c>
      <c r="X28" s="1">
        <v>6</v>
      </c>
      <c r="Y28" s="1">
        <v>10</v>
      </c>
      <c r="Z28" s="1">
        <v>13</v>
      </c>
      <c r="AA28" s="1">
        <v>5</v>
      </c>
      <c r="AB28" s="1">
        <v>6</v>
      </c>
      <c r="AC28" s="1">
        <v>10</v>
      </c>
      <c r="AD28" s="1">
        <v>13</v>
      </c>
      <c r="AE28" s="1">
        <v>5</v>
      </c>
      <c r="AF28" s="1">
        <v>6</v>
      </c>
      <c r="AG28" s="1">
        <v>5</v>
      </c>
      <c r="AH28" s="1">
        <v>6</v>
      </c>
      <c r="AI28" s="1">
        <v>0</v>
      </c>
      <c r="AJ28">
        <v>1</v>
      </c>
    </row>
    <row r="29" spans="1:36" x14ac:dyDescent="0.15">
      <c r="A29">
        <v>2</v>
      </c>
      <c r="B29" s="1">
        <f t="shared" ref="B29:B36" si="7">O29</f>
        <v>10</v>
      </c>
      <c r="C29" s="1">
        <f t="shared" ref="C29:C36" si="8">P29</f>
        <v>13</v>
      </c>
      <c r="D29" s="1">
        <f t="shared" ref="D29:D36" si="9">Q29</f>
        <v>10</v>
      </c>
      <c r="E29" s="1">
        <f t="shared" ref="E29:E36" si="10">R29</f>
        <v>14</v>
      </c>
      <c r="F29" s="1">
        <f t="shared" ref="F29:F36" si="11">S29+Y29+AA29+AE29</f>
        <v>25</v>
      </c>
      <c r="G29" s="1">
        <f t="shared" ref="G29:G36" si="12">T29+Z29+AB29+AF29</f>
        <v>31</v>
      </c>
      <c r="H29">
        <f t="shared" ref="H29:H36" si="13">W29</f>
        <v>5</v>
      </c>
      <c r="I29">
        <f t="shared" ref="I29:I36" si="14">X29</f>
        <v>6</v>
      </c>
      <c r="J29">
        <f t="shared" ref="J29:J36" si="15">AC29</f>
        <v>10</v>
      </c>
      <c r="K29">
        <f t="shared" ref="K29:K36" si="16">AD29</f>
        <v>13</v>
      </c>
      <c r="L29">
        <f t="shared" ref="L29:L36" si="17">AG29</f>
        <v>5</v>
      </c>
      <c r="M29">
        <f t="shared" ref="M29:M36" si="18">AH29</f>
        <v>6</v>
      </c>
      <c r="N29">
        <f t="shared" ref="N29:N36" si="19">V29</f>
        <v>6</v>
      </c>
      <c r="O29" s="1">
        <v>10</v>
      </c>
      <c r="P29" s="1">
        <v>13</v>
      </c>
      <c r="Q29" s="1">
        <v>10</v>
      </c>
      <c r="R29" s="1">
        <v>14</v>
      </c>
      <c r="S29" s="1">
        <v>5</v>
      </c>
      <c r="T29" s="1">
        <v>6</v>
      </c>
      <c r="U29" s="1">
        <v>5</v>
      </c>
      <c r="V29" s="1">
        <v>6</v>
      </c>
      <c r="W29" s="1">
        <v>5</v>
      </c>
      <c r="X29" s="1">
        <v>6</v>
      </c>
      <c r="Y29" s="1">
        <v>10</v>
      </c>
      <c r="Z29" s="1">
        <v>13</v>
      </c>
      <c r="AA29" s="1">
        <v>5</v>
      </c>
      <c r="AB29" s="1">
        <v>6</v>
      </c>
      <c r="AC29" s="1">
        <v>10</v>
      </c>
      <c r="AD29" s="1">
        <v>13</v>
      </c>
      <c r="AE29" s="1">
        <v>5</v>
      </c>
      <c r="AF29" s="1">
        <v>6</v>
      </c>
      <c r="AG29" s="1">
        <v>5</v>
      </c>
      <c r="AH29" s="1">
        <v>6</v>
      </c>
      <c r="AI29" s="1">
        <v>0</v>
      </c>
      <c r="AJ29">
        <v>2</v>
      </c>
    </row>
    <row r="30" spans="1:36" x14ac:dyDescent="0.15">
      <c r="A30">
        <v>3</v>
      </c>
      <c r="B30" s="1">
        <f t="shared" si="7"/>
        <v>10</v>
      </c>
      <c r="C30" s="1">
        <f t="shared" si="8"/>
        <v>13</v>
      </c>
      <c r="D30" s="1">
        <f t="shared" si="9"/>
        <v>10</v>
      </c>
      <c r="E30" s="1">
        <f t="shared" si="10"/>
        <v>14</v>
      </c>
      <c r="F30" s="1">
        <f t="shared" si="11"/>
        <v>25</v>
      </c>
      <c r="G30" s="1">
        <f t="shared" si="12"/>
        <v>31</v>
      </c>
      <c r="H30">
        <f t="shared" si="13"/>
        <v>5</v>
      </c>
      <c r="I30">
        <f t="shared" si="14"/>
        <v>6</v>
      </c>
      <c r="J30">
        <f t="shared" si="15"/>
        <v>10</v>
      </c>
      <c r="K30">
        <f t="shared" si="16"/>
        <v>13</v>
      </c>
      <c r="L30">
        <f t="shared" si="17"/>
        <v>5</v>
      </c>
      <c r="M30">
        <f t="shared" si="18"/>
        <v>6</v>
      </c>
      <c r="N30">
        <f t="shared" si="19"/>
        <v>6</v>
      </c>
      <c r="O30" s="1">
        <v>10</v>
      </c>
      <c r="P30" s="1">
        <v>13</v>
      </c>
      <c r="Q30" s="1">
        <v>10</v>
      </c>
      <c r="R30" s="1">
        <v>14</v>
      </c>
      <c r="S30" s="1">
        <v>5</v>
      </c>
      <c r="T30" s="1">
        <v>6</v>
      </c>
      <c r="U30" s="1">
        <v>5</v>
      </c>
      <c r="V30" s="1">
        <v>6</v>
      </c>
      <c r="W30" s="1">
        <v>5</v>
      </c>
      <c r="X30" s="1">
        <v>6</v>
      </c>
      <c r="Y30" s="1">
        <v>10</v>
      </c>
      <c r="Z30" s="1">
        <v>13</v>
      </c>
      <c r="AA30" s="1">
        <v>5</v>
      </c>
      <c r="AB30" s="1">
        <v>6</v>
      </c>
      <c r="AC30" s="1">
        <v>10</v>
      </c>
      <c r="AD30" s="1">
        <v>13</v>
      </c>
      <c r="AE30" s="1">
        <v>5</v>
      </c>
      <c r="AF30" s="1">
        <v>6</v>
      </c>
      <c r="AG30" s="1">
        <v>5</v>
      </c>
      <c r="AH30" s="1">
        <v>6</v>
      </c>
      <c r="AI30" s="1">
        <v>0</v>
      </c>
      <c r="AJ30">
        <v>3</v>
      </c>
    </row>
    <row r="31" spans="1:36" x14ac:dyDescent="0.15">
      <c r="A31">
        <v>4</v>
      </c>
      <c r="B31" s="1">
        <f t="shared" si="7"/>
        <v>10</v>
      </c>
      <c r="C31" s="1">
        <f t="shared" si="8"/>
        <v>13</v>
      </c>
      <c r="D31" s="1">
        <f t="shared" si="9"/>
        <v>10</v>
      </c>
      <c r="E31" s="1">
        <f t="shared" si="10"/>
        <v>14</v>
      </c>
      <c r="F31" s="1">
        <f t="shared" si="11"/>
        <v>25</v>
      </c>
      <c r="G31" s="1">
        <f t="shared" si="12"/>
        <v>31</v>
      </c>
      <c r="H31">
        <f t="shared" si="13"/>
        <v>5</v>
      </c>
      <c r="I31">
        <f t="shared" si="14"/>
        <v>6</v>
      </c>
      <c r="J31">
        <f t="shared" si="15"/>
        <v>10</v>
      </c>
      <c r="K31">
        <f t="shared" si="16"/>
        <v>13</v>
      </c>
      <c r="L31">
        <f t="shared" si="17"/>
        <v>5</v>
      </c>
      <c r="M31">
        <f t="shared" si="18"/>
        <v>6</v>
      </c>
      <c r="N31">
        <f t="shared" si="19"/>
        <v>6</v>
      </c>
      <c r="O31" s="1">
        <v>10</v>
      </c>
      <c r="P31" s="1">
        <v>13</v>
      </c>
      <c r="Q31" s="1">
        <v>10</v>
      </c>
      <c r="R31" s="1">
        <v>14</v>
      </c>
      <c r="S31" s="1">
        <v>5</v>
      </c>
      <c r="T31" s="1">
        <v>6</v>
      </c>
      <c r="U31" s="1">
        <v>5</v>
      </c>
      <c r="V31" s="1">
        <v>6</v>
      </c>
      <c r="W31" s="1">
        <v>5</v>
      </c>
      <c r="X31" s="1">
        <v>6</v>
      </c>
      <c r="Y31" s="1">
        <v>10</v>
      </c>
      <c r="Z31" s="1">
        <v>13</v>
      </c>
      <c r="AA31" s="1">
        <v>5</v>
      </c>
      <c r="AB31" s="1">
        <v>6</v>
      </c>
      <c r="AC31" s="1">
        <v>10</v>
      </c>
      <c r="AD31" s="1">
        <v>13</v>
      </c>
      <c r="AE31" s="1">
        <v>5</v>
      </c>
      <c r="AF31" s="1">
        <v>6</v>
      </c>
      <c r="AG31" s="1">
        <v>5</v>
      </c>
      <c r="AH31" s="1">
        <v>6</v>
      </c>
      <c r="AI31" s="1">
        <v>0</v>
      </c>
      <c r="AJ31">
        <v>4</v>
      </c>
    </row>
    <row r="32" spans="1:36" x14ac:dyDescent="0.15">
      <c r="A32">
        <v>5</v>
      </c>
      <c r="B32" s="1">
        <f t="shared" si="7"/>
        <v>10</v>
      </c>
      <c r="C32" s="1">
        <f t="shared" si="8"/>
        <v>13</v>
      </c>
      <c r="D32" s="1">
        <f t="shared" si="9"/>
        <v>10</v>
      </c>
      <c r="E32" s="1">
        <f t="shared" si="10"/>
        <v>14</v>
      </c>
      <c r="F32" s="1">
        <f t="shared" si="11"/>
        <v>25</v>
      </c>
      <c r="G32" s="1">
        <f t="shared" si="12"/>
        <v>31</v>
      </c>
      <c r="H32">
        <f t="shared" si="13"/>
        <v>5</v>
      </c>
      <c r="I32">
        <f t="shared" si="14"/>
        <v>6</v>
      </c>
      <c r="J32">
        <f t="shared" si="15"/>
        <v>10</v>
      </c>
      <c r="K32">
        <f t="shared" si="16"/>
        <v>13</v>
      </c>
      <c r="L32">
        <f t="shared" si="17"/>
        <v>5</v>
      </c>
      <c r="M32">
        <f t="shared" si="18"/>
        <v>6</v>
      </c>
      <c r="N32">
        <f t="shared" si="19"/>
        <v>6</v>
      </c>
      <c r="O32" s="1">
        <v>10</v>
      </c>
      <c r="P32" s="1">
        <v>13</v>
      </c>
      <c r="Q32" s="1">
        <v>10</v>
      </c>
      <c r="R32" s="1">
        <v>14</v>
      </c>
      <c r="S32" s="1">
        <v>5</v>
      </c>
      <c r="T32" s="1">
        <v>6</v>
      </c>
      <c r="U32" s="1">
        <v>5</v>
      </c>
      <c r="V32" s="1">
        <v>6</v>
      </c>
      <c r="W32" s="1">
        <v>5</v>
      </c>
      <c r="X32" s="1">
        <v>6</v>
      </c>
      <c r="Y32" s="1">
        <v>10</v>
      </c>
      <c r="Z32" s="1">
        <v>13</v>
      </c>
      <c r="AA32" s="1">
        <v>5</v>
      </c>
      <c r="AB32" s="1">
        <v>6</v>
      </c>
      <c r="AC32" s="1">
        <v>10</v>
      </c>
      <c r="AD32" s="1">
        <v>13</v>
      </c>
      <c r="AE32" s="1">
        <v>5</v>
      </c>
      <c r="AF32" s="1">
        <v>6</v>
      </c>
      <c r="AG32" s="1">
        <v>5</v>
      </c>
      <c r="AH32" s="1">
        <v>6</v>
      </c>
      <c r="AI32" s="1">
        <v>0</v>
      </c>
      <c r="AJ32">
        <v>5</v>
      </c>
    </row>
    <row r="33" spans="1:36" x14ac:dyDescent="0.15">
      <c r="A33">
        <v>6</v>
      </c>
      <c r="B33" s="1">
        <f t="shared" si="7"/>
        <v>10</v>
      </c>
      <c r="C33" s="1">
        <f t="shared" si="8"/>
        <v>13</v>
      </c>
      <c r="D33" s="1">
        <f t="shared" si="9"/>
        <v>10</v>
      </c>
      <c r="E33" s="1">
        <f t="shared" si="10"/>
        <v>14</v>
      </c>
      <c r="F33" s="1">
        <f t="shared" si="11"/>
        <v>25</v>
      </c>
      <c r="G33" s="1">
        <f t="shared" si="12"/>
        <v>31</v>
      </c>
      <c r="H33">
        <f t="shared" si="13"/>
        <v>5</v>
      </c>
      <c r="I33">
        <f t="shared" si="14"/>
        <v>6</v>
      </c>
      <c r="J33">
        <f t="shared" si="15"/>
        <v>10</v>
      </c>
      <c r="K33">
        <f t="shared" si="16"/>
        <v>13</v>
      </c>
      <c r="L33">
        <f t="shared" si="17"/>
        <v>5</v>
      </c>
      <c r="M33">
        <f t="shared" si="18"/>
        <v>6</v>
      </c>
      <c r="N33">
        <f t="shared" si="19"/>
        <v>6</v>
      </c>
      <c r="O33" s="1">
        <v>10</v>
      </c>
      <c r="P33" s="1">
        <v>13</v>
      </c>
      <c r="Q33" s="1">
        <v>10</v>
      </c>
      <c r="R33" s="1">
        <v>14</v>
      </c>
      <c r="S33" s="1">
        <v>5</v>
      </c>
      <c r="T33" s="1">
        <v>6</v>
      </c>
      <c r="U33" s="1">
        <v>5</v>
      </c>
      <c r="V33" s="1">
        <v>6</v>
      </c>
      <c r="W33" s="1">
        <v>5</v>
      </c>
      <c r="X33" s="1">
        <v>6</v>
      </c>
      <c r="Y33" s="1">
        <v>10</v>
      </c>
      <c r="Z33" s="1">
        <v>13</v>
      </c>
      <c r="AA33" s="1">
        <v>5</v>
      </c>
      <c r="AB33" s="1">
        <v>6</v>
      </c>
      <c r="AC33" s="1">
        <v>10</v>
      </c>
      <c r="AD33" s="1">
        <v>13</v>
      </c>
      <c r="AE33" s="1">
        <v>5</v>
      </c>
      <c r="AF33" s="1">
        <v>6</v>
      </c>
      <c r="AG33" s="1">
        <v>5</v>
      </c>
      <c r="AH33" s="1">
        <v>6</v>
      </c>
      <c r="AI33" s="1">
        <v>0</v>
      </c>
      <c r="AJ33">
        <v>6</v>
      </c>
    </row>
    <row r="34" spans="1:36" x14ac:dyDescent="0.15">
      <c r="A34">
        <v>7</v>
      </c>
      <c r="B34" s="1">
        <f t="shared" si="7"/>
        <v>10</v>
      </c>
      <c r="C34" s="1">
        <f t="shared" si="8"/>
        <v>13</v>
      </c>
      <c r="D34" s="1">
        <f t="shared" si="9"/>
        <v>10</v>
      </c>
      <c r="E34" s="1">
        <f t="shared" si="10"/>
        <v>14</v>
      </c>
      <c r="F34" s="1">
        <f t="shared" si="11"/>
        <v>25</v>
      </c>
      <c r="G34" s="1">
        <f t="shared" si="12"/>
        <v>31</v>
      </c>
      <c r="H34">
        <f t="shared" si="13"/>
        <v>5</v>
      </c>
      <c r="I34">
        <f t="shared" si="14"/>
        <v>6</v>
      </c>
      <c r="J34">
        <f t="shared" si="15"/>
        <v>10</v>
      </c>
      <c r="K34">
        <f t="shared" si="16"/>
        <v>13</v>
      </c>
      <c r="L34">
        <f t="shared" si="17"/>
        <v>5</v>
      </c>
      <c r="M34">
        <f t="shared" si="18"/>
        <v>6</v>
      </c>
      <c r="N34">
        <f t="shared" si="19"/>
        <v>6</v>
      </c>
      <c r="O34" s="1">
        <v>10</v>
      </c>
      <c r="P34" s="1">
        <v>13</v>
      </c>
      <c r="Q34" s="1">
        <v>10</v>
      </c>
      <c r="R34" s="1">
        <v>14</v>
      </c>
      <c r="S34" s="1">
        <v>5</v>
      </c>
      <c r="T34" s="1">
        <v>6</v>
      </c>
      <c r="U34" s="1">
        <v>5</v>
      </c>
      <c r="V34" s="1">
        <v>6</v>
      </c>
      <c r="W34" s="1">
        <v>5</v>
      </c>
      <c r="X34" s="1">
        <v>6</v>
      </c>
      <c r="Y34" s="1">
        <v>10</v>
      </c>
      <c r="Z34" s="1">
        <v>13</v>
      </c>
      <c r="AA34" s="1">
        <v>5</v>
      </c>
      <c r="AB34" s="1">
        <v>6</v>
      </c>
      <c r="AC34" s="1">
        <v>10</v>
      </c>
      <c r="AD34" s="1">
        <v>13</v>
      </c>
      <c r="AE34" s="1">
        <v>5</v>
      </c>
      <c r="AF34" s="1">
        <v>6</v>
      </c>
      <c r="AG34" s="1">
        <v>5</v>
      </c>
      <c r="AH34" s="1">
        <v>6</v>
      </c>
      <c r="AI34" s="1">
        <v>0</v>
      </c>
      <c r="AJ34">
        <v>7</v>
      </c>
    </row>
    <row r="35" spans="1:36" x14ac:dyDescent="0.15">
      <c r="A35">
        <v>8</v>
      </c>
      <c r="B35" s="1">
        <f t="shared" si="7"/>
        <v>10</v>
      </c>
      <c r="C35" s="1">
        <f t="shared" si="8"/>
        <v>13</v>
      </c>
      <c r="D35" s="1">
        <f t="shared" si="9"/>
        <v>10</v>
      </c>
      <c r="E35" s="1">
        <f t="shared" si="10"/>
        <v>14</v>
      </c>
      <c r="F35" s="1">
        <f t="shared" si="11"/>
        <v>25</v>
      </c>
      <c r="G35" s="1">
        <f t="shared" si="12"/>
        <v>31</v>
      </c>
      <c r="H35">
        <f t="shared" si="13"/>
        <v>5</v>
      </c>
      <c r="I35">
        <f t="shared" si="14"/>
        <v>6</v>
      </c>
      <c r="J35">
        <f t="shared" si="15"/>
        <v>10</v>
      </c>
      <c r="K35">
        <f t="shared" si="16"/>
        <v>13</v>
      </c>
      <c r="L35">
        <f t="shared" si="17"/>
        <v>5</v>
      </c>
      <c r="M35">
        <f t="shared" si="18"/>
        <v>6</v>
      </c>
      <c r="N35">
        <f t="shared" si="19"/>
        <v>6</v>
      </c>
      <c r="O35" s="1">
        <v>10</v>
      </c>
      <c r="P35" s="1">
        <v>13</v>
      </c>
      <c r="Q35" s="1">
        <v>10</v>
      </c>
      <c r="R35" s="1">
        <v>14</v>
      </c>
      <c r="S35" s="1">
        <v>5</v>
      </c>
      <c r="T35" s="1">
        <v>6</v>
      </c>
      <c r="U35" s="1">
        <v>5</v>
      </c>
      <c r="V35" s="1">
        <v>6</v>
      </c>
      <c r="W35" s="1">
        <v>5</v>
      </c>
      <c r="X35" s="1">
        <v>6</v>
      </c>
      <c r="Y35" s="1">
        <v>10</v>
      </c>
      <c r="Z35" s="1">
        <v>13</v>
      </c>
      <c r="AA35" s="1">
        <v>5</v>
      </c>
      <c r="AB35" s="1">
        <v>6</v>
      </c>
      <c r="AC35" s="1">
        <v>10</v>
      </c>
      <c r="AD35" s="1">
        <v>13</v>
      </c>
      <c r="AE35" s="1">
        <v>5</v>
      </c>
      <c r="AF35" s="1">
        <v>6</v>
      </c>
      <c r="AG35" s="1">
        <v>5</v>
      </c>
      <c r="AH35" s="1">
        <v>6</v>
      </c>
      <c r="AI35" s="1">
        <v>0</v>
      </c>
      <c r="AJ35">
        <v>8</v>
      </c>
    </row>
    <row r="36" spans="1:36" x14ac:dyDescent="0.15">
      <c r="A36">
        <v>9</v>
      </c>
      <c r="B36" s="1">
        <f t="shared" si="7"/>
        <v>10</v>
      </c>
      <c r="C36" s="1">
        <f t="shared" si="8"/>
        <v>13</v>
      </c>
      <c r="D36" s="1">
        <f t="shared" si="9"/>
        <v>10</v>
      </c>
      <c r="E36" s="1">
        <f t="shared" si="10"/>
        <v>14</v>
      </c>
      <c r="F36" s="1">
        <f t="shared" si="11"/>
        <v>25</v>
      </c>
      <c r="G36" s="1">
        <f t="shared" si="12"/>
        <v>31</v>
      </c>
      <c r="H36">
        <f t="shared" si="13"/>
        <v>5</v>
      </c>
      <c r="I36">
        <f t="shared" si="14"/>
        <v>6</v>
      </c>
      <c r="J36">
        <f t="shared" si="15"/>
        <v>10</v>
      </c>
      <c r="K36">
        <f t="shared" si="16"/>
        <v>13</v>
      </c>
      <c r="L36">
        <f t="shared" si="17"/>
        <v>5</v>
      </c>
      <c r="M36">
        <f t="shared" si="18"/>
        <v>6</v>
      </c>
      <c r="N36">
        <f t="shared" si="19"/>
        <v>6</v>
      </c>
      <c r="O36" s="1">
        <v>10</v>
      </c>
      <c r="P36" s="1">
        <v>13</v>
      </c>
      <c r="Q36" s="1">
        <v>10</v>
      </c>
      <c r="R36" s="1">
        <v>14</v>
      </c>
      <c r="S36" s="1">
        <v>5</v>
      </c>
      <c r="T36" s="1">
        <v>6</v>
      </c>
      <c r="U36" s="1">
        <v>5</v>
      </c>
      <c r="V36" s="1">
        <v>6</v>
      </c>
      <c r="W36" s="1">
        <v>5</v>
      </c>
      <c r="X36" s="1">
        <v>6</v>
      </c>
      <c r="Y36" s="1">
        <v>10</v>
      </c>
      <c r="Z36" s="1">
        <v>13</v>
      </c>
      <c r="AA36" s="1">
        <v>5</v>
      </c>
      <c r="AB36" s="1">
        <v>6</v>
      </c>
      <c r="AC36" s="1">
        <v>10</v>
      </c>
      <c r="AD36" s="1">
        <v>13</v>
      </c>
      <c r="AE36" s="1">
        <v>5</v>
      </c>
      <c r="AF36" s="1">
        <v>6</v>
      </c>
      <c r="AG36" s="1">
        <v>5</v>
      </c>
      <c r="AH36" s="1">
        <v>6</v>
      </c>
      <c r="AI36" s="1">
        <v>0</v>
      </c>
      <c r="AJ36">
        <v>9</v>
      </c>
    </row>
    <row r="37" spans="1:36" x14ac:dyDescent="0.15">
      <c r="A37">
        <v>10</v>
      </c>
      <c r="B37" s="1">
        <f t="shared" ref="B37:B197" si="20">O37</f>
        <v>47</v>
      </c>
      <c r="C37" s="1">
        <f t="shared" ref="C37:C197" si="21">P37</f>
        <v>60</v>
      </c>
      <c r="D37" s="1">
        <f t="shared" ref="D37:D197" si="22">Q37</f>
        <v>42</v>
      </c>
      <c r="E37" s="1">
        <f t="shared" ref="E37:E197" si="23">R37</f>
        <v>54</v>
      </c>
      <c r="F37" s="1">
        <f t="shared" ref="F37:F197" si="24">S37+Y37+AA37+AE37</f>
        <v>56</v>
      </c>
      <c r="G37" s="1">
        <f t="shared" ref="G37:G197" si="25">T37+Z37+AB37+AF37</f>
        <v>72</v>
      </c>
      <c r="H37">
        <f t="shared" ref="H37:H197" si="26">W37</f>
        <v>17</v>
      </c>
      <c r="I37">
        <f t="shared" ref="I37:I197" si="27">X37</f>
        <v>23</v>
      </c>
      <c r="J37">
        <f t="shared" ref="J37:J197" si="28">AC37</f>
        <v>31</v>
      </c>
      <c r="K37">
        <f t="shared" ref="K37:K197" si="29">AD37</f>
        <v>40</v>
      </c>
      <c r="L37">
        <f t="shared" ref="L37:L197" si="30">AG37</f>
        <v>8</v>
      </c>
      <c r="M37">
        <f t="shared" ref="M37:M197" si="31">AH37</f>
        <v>10</v>
      </c>
      <c r="N37">
        <f t="shared" ref="N37:N197" si="32">V37</f>
        <v>20</v>
      </c>
      <c r="O37" s="1">
        <v>47</v>
      </c>
      <c r="P37" s="1">
        <v>60</v>
      </c>
      <c r="Q37" s="1">
        <v>42</v>
      </c>
      <c r="R37" s="1">
        <v>54</v>
      </c>
      <c r="S37" s="1">
        <v>10</v>
      </c>
      <c r="T37" s="1">
        <v>13</v>
      </c>
      <c r="U37" s="1">
        <v>15</v>
      </c>
      <c r="V37" s="1">
        <v>20</v>
      </c>
      <c r="W37" s="1">
        <v>17</v>
      </c>
      <c r="X37" s="1">
        <v>23</v>
      </c>
      <c r="Y37" s="1">
        <v>26</v>
      </c>
      <c r="Z37" s="1">
        <v>33</v>
      </c>
      <c r="AA37" s="1">
        <v>10</v>
      </c>
      <c r="AB37" s="1">
        <v>13</v>
      </c>
      <c r="AC37" s="1">
        <v>31</v>
      </c>
      <c r="AD37" s="1">
        <v>40</v>
      </c>
      <c r="AE37" s="1">
        <v>10</v>
      </c>
      <c r="AF37" s="1">
        <v>13</v>
      </c>
      <c r="AG37" s="1">
        <v>8</v>
      </c>
      <c r="AH37" s="1">
        <v>10</v>
      </c>
      <c r="AI37" s="1">
        <v>0</v>
      </c>
      <c r="AJ37">
        <v>10</v>
      </c>
    </row>
    <row r="38" spans="1:36" x14ac:dyDescent="0.15">
      <c r="A38">
        <v>11</v>
      </c>
      <c r="B38" s="1">
        <f t="shared" ref="B38:B39" si="33">O38</f>
        <v>47</v>
      </c>
      <c r="C38" s="1">
        <f t="shared" ref="C38:C39" si="34">P38</f>
        <v>60</v>
      </c>
      <c r="D38" s="1">
        <f t="shared" ref="D38:D39" si="35">Q38</f>
        <v>42</v>
      </c>
      <c r="E38" s="1">
        <f t="shared" ref="E38:E39" si="36">R38</f>
        <v>54</v>
      </c>
      <c r="F38" s="1">
        <f t="shared" ref="F38:F39" si="37">S38+Y38+AA38+AE38</f>
        <v>56</v>
      </c>
      <c r="G38" s="1">
        <f t="shared" ref="G38:G39" si="38">T38+Z38+AB38+AF38</f>
        <v>72</v>
      </c>
      <c r="H38">
        <f t="shared" ref="H38:H39" si="39">W38</f>
        <v>17</v>
      </c>
      <c r="I38">
        <f t="shared" ref="I38:I39" si="40">X38</f>
        <v>23</v>
      </c>
      <c r="J38">
        <f t="shared" ref="J38:J39" si="41">AC38</f>
        <v>31</v>
      </c>
      <c r="K38">
        <f t="shared" ref="K38:K39" si="42">AD38</f>
        <v>40</v>
      </c>
      <c r="L38">
        <f t="shared" ref="L38:L39" si="43">AG38</f>
        <v>8</v>
      </c>
      <c r="M38">
        <f t="shared" ref="M38:M39" si="44">AH38</f>
        <v>10</v>
      </c>
      <c r="N38">
        <f t="shared" ref="N38:N39" si="45">V38</f>
        <v>20</v>
      </c>
      <c r="O38" s="1">
        <v>47</v>
      </c>
      <c r="P38" s="1">
        <v>60</v>
      </c>
      <c r="Q38" s="1">
        <v>42</v>
      </c>
      <c r="R38" s="1">
        <v>54</v>
      </c>
      <c r="S38" s="1">
        <v>10</v>
      </c>
      <c r="T38" s="1">
        <v>13</v>
      </c>
      <c r="U38" s="1">
        <v>15</v>
      </c>
      <c r="V38" s="1">
        <v>20</v>
      </c>
      <c r="W38" s="1">
        <v>17</v>
      </c>
      <c r="X38" s="1">
        <v>23</v>
      </c>
      <c r="Y38" s="1">
        <v>26</v>
      </c>
      <c r="Z38" s="1">
        <v>33</v>
      </c>
      <c r="AA38" s="1">
        <v>10</v>
      </c>
      <c r="AB38" s="1">
        <v>13</v>
      </c>
      <c r="AC38" s="1">
        <v>31</v>
      </c>
      <c r="AD38" s="1">
        <v>40</v>
      </c>
      <c r="AE38" s="1">
        <v>10</v>
      </c>
      <c r="AF38" s="1">
        <v>13</v>
      </c>
      <c r="AG38" s="1">
        <v>8</v>
      </c>
      <c r="AH38" s="1">
        <v>10</v>
      </c>
      <c r="AI38" s="1">
        <v>0</v>
      </c>
      <c r="AJ38">
        <v>11</v>
      </c>
    </row>
    <row r="39" spans="1:36" x14ac:dyDescent="0.15">
      <c r="A39">
        <v>12</v>
      </c>
      <c r="B39" s="1">
        <f t="shared" si="33"/>
        <v>47</v>
      </c>
      <c r="C39" s="1">
        <f t="shared" si="34"/>
        <v>60</v>
      </c>
      <c r="D39" s="1">
        <f t="shared" si="35"/>
        <v>42</v>
      </c>
      <c r="E39" s="1">
        <f t="shared" si="36"/>
        <v>54</v>
      </c>
      <c r="F39" s="1">
        <f t="shared" si="37"/>
        <v>56</v>
      </c>
      <c r="G39" s="1">
        <f t="shared" si="38"/>
        <v>72</v>
      </c>
      <c r="H39">
        <f t="shared" si="39"/>
        <v>17</v>
      </c>
      <c r="I39">
        <f t="shared" si="40"/>
        <v>23</v>
      </c>
      <c r="J39">
        <f t="shared" si="41"/>
        <v>31</v>
      </c>
      <c r="K39">
        <f t="shared" si="42"/>
        <v>40</v>
      </c>
      <c r="L39">
        <f t="shared" si="43"/>
        <v>8</v>
      </c>
      <c r="M39">
        <f t="shared" si="44"/>
        <v>10</v>
      </c>
      <c r="N39">
        <f t="shared" si="45"/>
        <v>20</v>
      </c>
      <c r="O39" s="1">
        <v>47</v>
      </c>
      <c r="P39" s="1">
        <v>60</v>
      </c>
      <c r="Q39" s="1">
        <v>42</v>
      </c>
      <c r="R39" s="1">
        <v>54</v>
      </c>
      <c r="S39" s="1">
        <v>10</v>
      </c>
      <c r="T39" s="1">
        <v>13</v>
      </c>
      <c r="U39" s="1">
        <v>15</v>
      </c>
      <c r="V39" s="1">
        <v>20</v>
      </c>
      <c r="W39" s="1">
        <v>17</v>
      </c>
      <c r="X39" s="1">
        <v>23</v>
      </c>
      <c r="Y39" s="1">
        <v>26</v>
      </c>
      <c r="Z39" s="1">
        <v>33</v>
      </c>
      <c r="AA39" s="1">
        <v>10</v>
      </c>
      <c r="AB39" s="1">
        <v>13</v>
      </c>
      <c r="AC39" s="1">
        <v>31</v>
      </c>
      <c r="AD39" s="1">
        <v>40</v>
      </c>
      <c r="AE39" s="1">
        <v>10</v>
      </c>
      <c r="AF39" s="1">
        <v>13</v>
      </c>
      <c r="AG39" s="1">
        <v>8</v>
      </c>
      <c r="AH39" s="1">
        <v>10</v>
      </c>
      <c r="AI39" s="1">
        <v>0</v>
      </c>
      <c r="AJ39">
        <v>12</v>
      </c>
    </row>
    <row r="40" spans="1:36" x14ac:dyDescent="0.15">
      <c r="A40">
        <v>13</v>
      </c>
      <c r="B40" s="1">
        <f t="shared" ref="B40:B46" si="46">O40</f>
        <v>47</v>
      </c>
      <c r="C40" s="1">
        <f t="shared" ref="C40:C46" si="47">P40</f>
        <v>60</v>
      </c>
      <c r="D40" s="1">
        <f t="shared" ref="D40:D46" si="48">Q40</f>
        <v>42</v>
      </c>
      <c r="E40" s="1">
        <f t="shared" ref="E40:E46" si="49">R40</f>
        <v>54</v>
      </c>
      <c r="F40" s="1">
        <f t="shared" ref="F40:F46" si="50">S40+Y40+AA40+AE40</f>
        <v>56</v>
      </c>
      <c r="G40" s="1">
        <f t="shared" ref="G40:G46" si="51">T40+Z40+AB40+AF40</f>
        <v>72</v>
      </c>
      <c r="H40">
        <f t="shared" ref="H40:H46" si="52">W40</f>
        <v>17</v>
      </c>
      <c r="I40">
        <f t="shared" ref="I40:I46" si="53">X40</f>
        <v>23</v>
      </c>
      <c r="J40">
        <f t="shared" ref="J40:J46" si="54">AC40</f>
        <v>31</v>
      </c>
      <c r="K40">
        <f t="shared" ref="K40:K46" si="55">AD40</f>
        <v>40</v>
      </c>
      <c r="L40">
        <f t="shared" ref="L40:L46" si="56">AG40</f>
        <v>8</v>
      </c>
      <c r="M40">
        <f t="shared" ref="M40:M46" si="57">AH40</f>
        <v>10</v>
      </c>
      <c r="N40">
        <f t="shared" ref="N40:N46" si="58">V40</f>
        <v>20</v>
      </c>
      <c r="O40" s="1">
        <v>47</v>
      </c>
      <c r="P40" s="1">
        <v>60</v>
      </c>
      <c r="Q40" s="1">
        <v>42</v>
      </c>
      <c r="R40" s="1">
        <v>54</v>
      </c>
      <c r="S40" s="1">
        <v>10</v>
      </c>
      <c r="T40" s="1">
        <v>13</v>
      </c>
      <c r="U40" s="1">
        <v>15</v>
      </c>
      <c r="V40" s="1">
        <v>20</v>
      </c>
      <c r="W40" s="1">
        <v>17</v>
      </c>
      <c r="X40" s="1">
        <v>23</v>
      </c>
      <c r="Y40" s="1">
        <v>26</v>
      </c>
      <c r="Z40" s="1">
        <v>33</v>
      </c>
      <c r="AA40" s="1">
        <v>10</v>
      </c>
      <c r="AB40" s="1">
        <v>13</v>
      </c>
      <c r="AC40" s="1">
        <v>31</v>
      </c>
      <c r="AD40" s="1">
        <v>40</v>
      </c>
      <c r="AE40" s="1">
        <v>10</v>
      </c>
      <c r="AF40" s="1">
        <v>13</v>
      </c>
      <c r="AG40" s="1">
        <v>8</v>
      </c>
      <c r="AH40" s="1">
        <v>10</v>
      </c>
      <c r="AI40" s="1">
        <v>0</v>
      </c>
      <c r="AJ40">
        <v>13</v>
      </c>
    </row>
    <row r="41" spans="1:36" x14ac:dyDescent="0.15">
      <c r="A41">
        <v>14</v>
      </c>
      <c r="B41" s="1">
        <f t="shared" si="46"/>
        <v>47</v>
      </c>
      <c r="C41" s="1">
        <f t="shared" si="47"/>
        <v>60</v>
      </c>
      <c r="D41" s="1">
        <f t="shared" si="48"/>
        <v>42</v>
      </c>
      <c r="E41" s="1">
        <f t="shared" si="49"/>
        <v>54</v>
      </c>
      <c r="F41" s="1">
        <f t="shared" si="50"/>
        <v>56</v>
      </c>
      <c r="G41" s="1">
        <f t="shared" si="51"/>
        <v>72</v>
      </c>
      <c r="H41">
        <f t="shared" si="52"/>
        <v>17</v>
      </c>
      <c r="I41">
        <f t="shared" si="53"/>
        <v>23</v>
      </c>
      <c r="J41">
        <f t="shared" si="54"/>
        <v>31</v>
      </c>
      <c r="K41">
        <f t="shared" si="55"/>
        <v>40</v>
      </c>
      <c r="L41">
        <f t="shared" si="56"/>
        <v>8</v>
      </c>
      <c r="M41">
        <f t="shared" si="57"/>
        <v>10</v>
      </c>
      <c r="N41">
        <f t="shared" si="58"/>
        <v>20</v>
      </c>
      <c r="O41" s="1">
        <v>47</v>
      </c>
      <c r="P41" s="1">
        <v>60</v>
      </c>
      <c r="Q41" s="1">
        <v>42</v>
      </c>
      <c r="R41" s="1">
        <v>54</v>
      </c>
      <c r="S41" s="1">
        <v>10</v>
      </c>
      <c r="T41" s="1">
        <v>13</v>
      </c>
      <c r="U41" s="1">
        <v>15</v>
      </c>
      <c r="V41" s="1">
        <v>20</v>
      </c>
      <c r="W41" s="1">
        <v>17</v>
      </c>
      <c r="X41" s="1">
        <v>23</v>
      </c>
      <c r="Y41" s="1">
        <v>26</v>
      </c>
      <c r="Z41" s="1">
        <v>33</v>
      </c>
      <c r="AA41" s="1">
        <v>10</v>
      </c>
      <c r="AB41" s="1">
        <v>13</v>
      </c>
      <c r="AC41" s="1">
        <v>31</v>
      </c>
      <c r="AD41" s="1">
        <v>40</v>
      </c>
      <c r="AE41" s="1">
        <v>10</v>
      </c>
      <c r="AF41" s="1">
        <v>13</v>
      </c>
      <c r="AG41" s="1">
        <v>8</v>
      </c>
      <c r="AH41" s="1">
        <v>10</v>
      </c>
      <c r="AI41" s="1">
        <v>0</v>
      </c>
      <c r="AJ41">
        <v>14</v>
      </c>
    </row>
    <row r="42" spans="1:36" x14ac:dyDescent="0.15">
      <c r="A42">
        <v>15</v>
      </c>
      <c r="B42" s="1">
        <f t="shared" si="46"/>
        <v>47</v>
      </c>
      <c r="C42" s="1">
        <f t="shared" si="47"/>
        <v>60</v>
      </c>
      <c r="D42" s="1">
        <f t="shared" si="48"/>
        <v>42</v>
      </c>
      <c r="E42" s="1">
        <f t="shared" si="49"/>
        <v>54</v>
      </c>
      <c r="F42" s="1">
        <f t="shared" si="50"/>
        <v>56</v>
      </c>
      <c r="G42" s="1">
        <f t="shared" si="51"/>
        <v>72</v>
      </c>
      <c r="H42">
        <f t="shared" si="52"/>
        <v>17</v>
      </c>
      <c r="I42">
        <f t="shared" si="53"/>
        <v>23</v>
      </c>
      <c r="J42">
        <f t="shared" si="54"/>
        <v>31</v>
      </c>
      <c r="K42">
        <f t="shared" si="55"/>
        <v>40</v>
      </c>
      <c r="L42">
        <f t="shared" si="56"/>
        <v>8</v>
      </c>
      <c r="M42">
        <f t="shared" si="57"/>
        <v>10</v>
      </c>
      <c r="N42">
        <f t="shared" si="58"/>
        <v>20</v>
      </c>
      <c r="O42" s="1">
        <v>47</v>
      </c>
      <c r="P42" s="1">
        <v>60</v>
      </c>
      <c r="Q42" s="1">
        <v>42</v>
      </c>
      <c r="R42" s="1">
        <v>54</v>
      </c>
      <c r="S42" s="1">
        <v>10</v>
      </c>
      <c r="T42" s="1">
        <v>13</v>
      </c>
      <c r="U42" s="1">
        <v>15</v>
      </c>
      <c r="V42" s="1">
        <v>20</v>
      </c>
      <c r="W42" s="1">
        <v>17</v>
      </c>
      <c r="X42" s="1">
        <v>23</v>
      </c>
      <c r="Y42" s="1">
        <v>26</v>
      </c>
      <c r="Z42" s="1">
        <v>33</v>
      </c>
      <c r="AA42" s="1">
        <v>10</v>
      </c>
      <c r="AB42" s="1">
        <v>13</v>
      </c>
      <c r="AC42" s="1">
        <v>31</v>
      </c>
      <c r="AD42" s="1">
        <v>40</v>
      </c>
      <c r="AE42" s="1">
        <v>10</v>
      </c>
      <c r="AF42" s="1">
        <v>13</v>
      </c>
      <c r="AG42" s="1">
        <v>8</v>
      </c>
      <c r="AH42" s="1">
        <v>10</v>
      </c>
      <c r="AI42" s="1">
        <v>0</v>
      </c>
      <c r="AJ42">
        <v>15</v>
      </c>
    </row>
    <row r="43" spans="1:36" x14ac:dyDescent="0.15">
      <c r="A43">
        <v>16</v>
      </c>
      <c r="B43" s="1">
        <f t="shared" si="46"/>
        <v>47</v>
      </c>
      <c r="C43" s="1">
        <f t="shared" si="47"/>
        <v>60</v>
      </c>
      <c r="D43" s="1">
        <f t="shared" si="48"/>
        <v>42</v>
      </c>
      <c r="E43" s="1">
        <f t="shared" si="49"/>
        <v>54</v>
      </c>
      <c r="F43" s="1">
        <f t="shared" si="50"/>
        <v>56</v>
      </c>
      <c r="G43" s="1">
        <f t="shared" si="51"/>
        <v>72</v>
      </c>
      <c r="H43">
        <f t="shared" si="52"/>
        <v>17</v>
      </c>
      <c r="I43">
        <f t="shared" si="53"/>
        <v>23</v>
      </c>
      <c r="J43">
        <f t="shared" si="54"/>
        <v>31</v>
      </c>
      <c r="K43">
        <f t="shared" si="55"/>
        <v>40</v>
      </c>
      <c r="L43">
        <f t="shared" si="56"/>
        <v>8</v>
      </c>
      <c r="M43">
        <f t="shared" si="57"/>
        <v>10</v>
      </c>
      <c r="N43">
        <f t="shared" si="58"/>
        <v>20</v>
      </c>
      <c r="O43" s="1">
        <v>47</v>
      </c>
      <c r="P43" s="1">
        <v>60</v>
      </c>
      <c r="Q43" s="1">
        <v>42</v>
      </c>
      <c r="R43" s="1">
        <v>54</v>
      </c>
      <c r="S43" s="1">
        <v>10</v>
      </c>
      <c r="T43" s="1">
        <v>13</v>
      </c>
      <c r="U43" s="1">
        <v>15</v>
      </c>
      <c r="V43" s="1">
        <v>20</v>
      </c>
      <c r="W43" s="1">
        <v>17</v>
      </c>
      <c r="X43" s="1">
        <v>23</v>
      </c>
      <c r="Y43" s="1">
        <v>26</v>
      </c>
      <c r="Z43" s="1">
        <v>33</v>
      </c>
      <c r="AA43" s="1">
        <v>10</v>
      </c>
      <c r="AB43" s="1">
        <v>13</v>
      </c>
      <c r="AC43" s="1">
        <v>31</v>
      </c>
      <c r="AD43" s="1">
        <v>40</v>
      </c>
      <c r="AE43" s="1">
        <v>10</v>
      </c>
      <c r="AF43" s="1">
        <v>13</v>
      </c>
      <c r="AG43" s="1">
        <v>8</v>
      </c>
      <c r="AH43" s="1">
        <v>10</v>
      </c>
      <c r="AI43" s="1">
        <v>0</v>
      </c>
      <c r="AJ43">
        <v>16</v>
      </c>
    </row>
    <row r="44" spans="1:36" x14ac:dyDescent="0.15">
      <c r="A44">
        <v>17</v>
      </c>
      <c r="B44" s="1">
        <f t="shared" si="46"/>
        <v>47</v>
      </c>
      <c r="C44" s="1">
        <f t="shared" si="47"/>
        <v>60</v>
      </c>
      <c r="D44" s="1">
        <f t="shared" si="48"/>
        <v>42</v>
      </c>
      <c r="E44" s="1">
        <f t="shared" si="49"/>
        <v>54</v>
      </c>
      <c r="F44" s="1">
        <f t="shared" si="50"/>
        <v>56</v>
      </c>
      <c r="G44" s="1">
        <f t="shared" si="51"/>
        <v>72</v>
      </c>
      <c r="H44">
        <f t="shared" si="52"/>
        <v>17</v>
      </c>
      <c r="I44">
        <f t="shared" si="53"/>
        <v>23</v>
      </c>
      <c r="J44">
        <f t="shared" si="54"/>
        <v>31</v>
      </c>
      <c r="K44">
        <f t="shared" si="55"/>
        <v>40</v>
      </c>
      <c r="L44">
        <f t="shared" si="56"/>
        <v>8</v>
      </c>
      <c r="M44">
        <f t="shared" si="57"/>
        <v>10</v>
      </c>
      <c r="N44">
        <f t="shared" si="58"/>
        <v>20</v>
      </c>
      <c r="O44" s="1">
        <v>47</v>
      </c>
      <c r="P44" s="1">
        <v>60</v>
      </c>
      <c r="Q44" s="1">
        <v>42</v>
      </c>
      <c r="R44" s="1">
        <v>54</v>
      </c>
      <c r="S44" s="1">
        <v>10</v>
      </c>
      <c r="T44" s="1">
        <v>13</v>
      </c>
      <c r="U44" s="1">
        <v>15</v>
      </c>
      <c r="V44" s="1">
        <v>20</v>
      </c>
      <c r="W44" s="1">
        <v>17</v>
      </c>
      <c r="X44" s="1">
        <v>23</v>
      </c>
      <c r="Y44" s="1">
        <v>26</v>
      </c>
      <c r="Z44" s="1">
        <v>33</v>
      </c>
      <c r="AA44" s="1">
        <v>10</v>
      </c>
      <c r="AB44" s="1">
        <v>13</v>
      </c>
      <c r="AC44" s="1">
        <v>31</v>
      </c>
      <c r="AD44" s="1">
        <v>40</v>
      </c>
      <c r="AE44" s="1">
        <v>10</v>
      </c>
      <c r="AF44" s="1">
        <v>13</v>
      </c>
      <c r="AG44" s="1">
        <v>8</v>
      </c>
      <c r="AH44" s="1">
        <v>10</v>
      </c>
      <c r="AI44" s="1">
        <v>0</v>
      </c>
      <c r="AJ44">
        <v>17</v>
      </c>
    </row>
    <row r="45" spans="1:36" x14ac:dyDescent="0.15">
      <c r="A45">
        <v>18</v>
      </c>
      <c r="B45" s="1">
        <f t="shared" si="46"/>
        <v>47</v>
      </c>
      <c r="C45" s="1">
        <f t="shared" si="47"/>
        <v>60</v>
      </c>
      <c r="D45" s="1">
        <f t="shared" si="48"/>
        <v>42</v>
      </c>
      <c r="E45" s="1">
        <f t="shared" si="49"/>
        <v>54</v>
      </c>
      <c r="F45" s="1">
        <f t="shared" si="50"/>
        <v>56</v>
      </c>
      <c r="G45" s="1">
        <f t="shared" si="51"/>
        <v>72</v>
      </c>
      <c r="H45">
        <f t="shared" si="52"/>
        <v>17</v>
      </c>
      <c r="I45">
        <f t="shared" si="53"/>
        <v>23</v>
      </c>
      <c r="J45">
        <f t="shared" si="54"/>
        <v>31</v>
      </c>
      <c r="K45">
        <f t="shared" si="55"/>
        <v>40</v>
      </c>
      <c r="L45">
        <f t="shared" si="56"/>
        <v>8</v>
      </c>
      <c r="M45">
        <f t="shared" si="57"/>
        <v>10</v>
      </c>
      <c r="N45">
        <f t="shared" si="58"/>
        <v>20</v>
      </c>
      <c r="O45" s="1">
        <v>47</v>
      </c>
      <c r="P45" s="1">
        <v>60</v>
      </c>
      <c r="Q45" s="1">
        <v>42</v>
      </c>
      <c r="R45" s="1">
        <v>54</v>
      </c>
      <c r="S45" s="1">
        <v>10</v>
      </c>
      <c r="T45" s="1">
        <v>13</v>
      </c>
      <c r="U45" s="1">
        <v>15</v>
      </c>
      <c r="V45" s="1">
        <v>20</v>
      </c>
      <c r="W45" s="1">
        <v>17</v>
      </c>
      <c r="X45" s="1">
        <v>23</v>
      </c>
      <c r="Y45" s="1">
        <v>26</v>
      </c>
      <c r="Z45" s="1">
        <v>33</v>
      </c>
      <c r="AA45" s="1">
        <v>10</v>
      </c>
      <c r="AB45" s="1">
        <v>13</v>
      </c>
      <c r="AC45" s="1">
        <v>31</v>
      </c>
      <c r="AD45" s="1">
        <v>40</v>
      </c>
      <c r="AE45" s="1">
        <v>10</v>
      </c>
      <c r="AF45" s="1">
        <v>13</v>
      </c>
      <c r="AG45" s="1">
        <v>8</v>
      </c>
      <c r="AH45" s="1">
        <v>10</v>
      </c>
      <c r="AI45" s="1">
        <v>0</v>
      </c>
      <c r="AJ45">
        <v>18</v>
      </c>
    </row>
    <row r="46" spans="1:36" x14ac:dyDescent="0.15">
      <c r="A46">
        <v>19</v>
      </c>
      <c r="B46" s="1">
        <f t="shared" si="46"/>
        <v>47</v>
      </c>
      <c r="C46" s="1">
        <f t="shared" si="47"/>
        <v>60</v>
      </c>
      <c r="D46" s="1">
        <f t="shared" si="48"/>
        <v>42</v>
      </c>
      <c r="E46" s="1">
        <f t="shared" si="49"/>
        <v>54</v>
      </c>
      <c r="F46" s="1">
        <f t="shared" si="50"/>
        <v>56</v>
      </c>
      <c r="G46" s="1">
        <f t="shared" si="51"/>
        <v>72</v>
      </c>
      <c r="H46">
        <f t="shared" si="52"/>
        <v>17</v>
      </c>
      <c r="I46">
        <f t="shared" si="53"/>
        <v>23</v>
      </c>
      <c r="J46">
        <f t="shared" si="54"/>
        <v>31</v>
      </c>
      <c r="K46">
        <f t="shared" si="55"/>
        <v>40</v>
      </c>
      <c r="L46">
        <f t="shared" si="56"/>
        <v>8</v>
      </c>
      <c r="M46">
        <f t="shared" si="57"/>
        <v>10</v>
      </c>
      <c r="N46">
        <f t="shared" si="58"/>
        <v>20</v>
      </c>
      <c r="O46" s="1">
        <v>47</v>
      </c>
      <c r="P46" s="1">
        <v>60</v>
      </c>
      <c r="Q46" s="1">
        <v>42</v>
      </c>
      <c r="R46" s="1">
        <v>54</v>
      </c>
      <c r="S46" s="1">
        <v>10</v>
      </c>
      <c r="T46" s="1">
        <v>13</v>
      </c>
      <c r="U46" s="1">
        <v>15</v>
      </c>
      <c r="V46" s="1">
        <v>20</v>
      </c>
      <c r="W46" s="1">
        <v>17</v>
      </c>
      <c r="X46" s="1">
        <v>23</v>
      </c>
      <c r="Y46" s="1">
        <v>26</v>
      </c>
      <c r="Z46" s="1">
        <v>33</v>
      </c>
      <c r="AA46" s="1">
        <v>10</v>
      </c>
      <c r="AB46" s="1">
        <v>13</v>
      </c>
      <c r="AC46" s="1">
        <v>31</v>
      </c>
      <c r="AD46" s="1">
        <v>40</v>
      </c>
      <c r="AE46" s="1">
        <v>10</v>
      </c>
      <c r="AF46" s="1">
        <v>13</v>
      </c>
      <c r="AG46" s="1">
        <v>8</v>
      </c>
      <c r="AH46" s="1">
        <v>10</v>
      </c>
      <c r="AI46" s="1">
        <v>0</v>
      </c>
      <c r="AJ46">
        <v>19</v>
      </c>
    </row>
    <row r="47" spans="1:36" x14ac:dyDescent="0.15">
      <c r="A47">
        <v>20</v>
      </c>
      <c r="B47" s="1">
        <f t="shared" si="20"/>
        <v>84</v>
      </c>
      <c r="C47" s="1">
        <f t="shared" si="21"/>
        <v>109</v>
      </c>
      <c r="D47" s="1">
        <f t="shared" si="22"/>
        <v>73</v>
      </c>
      <c r="E47" s="1">
        <f t="shared" si="23"/>
        <v>95</v>
      </c>
      <c r="F47" s="1">
        <f t="shared" si="24"/>
        <v>87</v>
      </c>
      <c r="G47" s="1">
        <f t="shared" si="25"/>
        <v>112</v>
      </c>
      <c r="H47">
        <f t="shared" si="26"/>
        <v>30</v>
      </c>
      <c r="I47">
        <f t="shared" si="27"/>
        <v>38</v>
      </c>
      <c r="J47">
        <f t="shared" si="28"/>
        <v>52</v>
      </c>
      <c r="K47">
        <f t="shared" si="29"/>
        <v>68</v>
      </c>
      <c r="L47">
        <f t="shared" si="30"/>
        <v>11</v>
      </c>
      <c r="M47">
        <f t="shared" si="31"/>
        <v>14</v>
      </c>
      <c r="N47">
        <f t="shared" si="32"/>
        <v>34</v>
      </c>
      <c r="O47" s="1">
        <v>84</v>
      </c>
      <c r="P47" s="1">
        <v>109</v>
      </c>
      <c r="Q47" s="1">
        <v>73</v>
      </c>
      <c r="R47" s="1">
        <v>95</v>
      </c>
      <c r="S47" s="1">
        <v>15</v>
      </c>
      <c r="T47" s="1">
        <v>19</v>
      </c>
      <c r="U47" s="1">
        <v>26</v>
      </c>
      <c r="V47" s="1">
        <v>34</v>
      </c>
      <c r="W47" s="1">
        <v>30</v>
      </c>
      <c r="X47" s="1">
        <v>38</v>
      </c>
      <c r="Y47" s="1">
        <v>42</v>
      </c>
      <c r="Z47" s="1">
        <v>54</v>
      </c>
      <c r="AA47" s="1">
        <v>15</v>
      </c>
      <c r="AB47" s="1">
        <v>20</v>
      </c>
      <c r="AC47" s="1">
        <v>52</v>
      </c>
      <c r="AD47" s="1">
        <v>68</v>
      </c>
      <c r="AE47" s="1">
        <v>15</v>
      </c>
      <c r="AF47" s="1">
        <v>19</v>
      </c>
      <c r="AG47" s="1">
        <v>11</v>
      </c>
      <c r="AH47" s="1">
        <v>14</v>
      </c>
      <c r="AI47" s="1">
        <v>0</v>
      </c>
      <c r="AJ47">
        <v>20</v>
      </c>
    </row>
    <row r="48" spans="1:36" x14ac:dyDescent="0.15">
      <c r="A48">
        <v>21</v>
      </c>
      <c r="B48" s="1">
        <f t="shared" ref="B48:B49" si="59">O48</f>
        <v>84</v>
      </c>
      <c r="C48" s="1">
        <f t="shared" ref="C48:C49" si="60">P48</f>
        <v>109</v>
      </c>
      <c r="D48" s="1">
        <f t="shared" ref="D48:D49" si="61">Q48</f>
        <v>73</v>
      </c>
      <c r="E48" s="1">
        <f t="shared" ref="E48:E49" si="62">R48</f>
        <v>95</v>
      </c>
      <c r="F48" s="1">
        <f t="shared" ref="F48:F49" si="63">S48+Y48+AA48+AE48</f>
        <v>87</v>
      </c>
      <c r="G48" s="1">
        <f t="shared" ref="G48:G49" si="64">T48+Z48+AB48+AF48</f>
        <v>112</v>
      </c>
      <c r="H48">
        <f t="shared" ref="H48:H49" si="65">W48</f>
        <v>30</v>
      </c>
      <c r="I48">
        <f t="shared" ref="I48:I49" si="66">X48</f>
        <v>38</v>
      </c>
      <c r="J48">
        <f t="shared" ref="J48:J49" si="67">AC48</f>
        <v>52</v>
      </c>
      <c r="K48">
        <f t="shared" ref="K48:K49" si="68">AD48</f>
        <v>68</v>
      </c>
      <c r="L48">
        <f t="shared" ref="L48:L49" si="69">AG48</f>
        <v>11</v>
      </c>
      <c r="M48">
        <f t="shared" ref="M48:M49" si="70">AH48</f>
        <v>14</v>
      </c>
      <c r="N48">
        <f t="shared" ref="N48:N49" si="71">V48</f>
        <v>34</v>
      </c>
      <c r="O48" s="1">
        <v>84</v>
      </c>
      <c r="P48" s="1">
        <v>109</v>
      </c>
      <c r="Q48" s="1">
        <v>73</v>
      </c>
      <c r="R48" s="1">
        <v>95</v>
      </c>
      <c r="S48" s="1">
        <v>15</v>
      </c>
      <c r="T48" s="1">
        <v>19</v>
      </c>
      <c r="U48" s="1">
        <v>26</v>
      </c>
      <c r="V48" s="1">
        <v>34</v>
      </c>
      <c r="W48" s="1">
        <v>30</v>
      </c>
      <c r="X48" s="1">
        <v>38</v>
      </c>
      <c r="Y48" s="1">
        <v>42</v>
      </c>
      <c r="Z48" s="1">
        <v>54</v>
      </c>
      <c r="AA48" s="1">
        <v>15</v>
      </c>
      <c r="AB48" s="1">
        <v>20</v>
      </c>
      <c r="AC48" s="1">
        <v>52</v>
      </c>
      <c r="AD48" s="1">
        <v>68</v>
      </c>
      <c r="AE48" s="1">
        <v>15</v>
      </c>
      <c r="AF48" s="1">
        <v>19</v>
      </c>
      <c r="AG48" s="1">
        <v>11</v>
      </c>
      <c r="AH48" s="1">
        <v>14</v>
      </c>
      <c r="AI48" s="1">
        <v>0</v>
      </c>
      <c r="AJ48">
        <v>21</v>
      </c>
    </row>
    <row r="49" spans="1:36" x14ac:dyDescent="0.15">
      <c r="A49">
        <v>22</v>
      </c>
      <c r="B49" s="1">
        <f t="shared" si="59"/>
        <v>84</v>
      </c>
      <c r="C49" s="1">
        <f t="shared" si="60"/>
        <v>109</v>
      </c>
      <c r="D49" s="1">
        <f t="shared" si="61"/>
        <v>73</v>
      </c>
      <c r="E49" s="1">
        <f t="shared" si="62"/>
        <v>95</v>
      </c>
      <c r="F49" s="1">
        <f t="shared" si="63"/>
        <v>87</v>
      </c>
      <c r="G49" s="1">
        <f t="shared" si="64"/>
        <v>112</v>
      </c>
      <c r="H49">
        <f t="shared" si="65"/>
        <v>30</v>
      </c>
      <c r="I49">
        <f t="shared" si="66"/>
        <v>38</v>
      </c>
      <c r="J49">
        <f t="shared" si="67"/>
        <v>52</v>
      </c>
      <c r="K49">
        <f t="shared" si="68"/>
        <v>68</v>
      </c>
      <c r="L49">
        <f t="shared" si="69"/>
        <v>11</v>
      </c>
      <c r="M49">
        <f t="shared" si="70"/>
        <v>14</v>
      </c>
      <c r="N49">
        <f t="shared" si="71"/>
        <v>34</v>
      </c>
      <c r="O49" s="1">
        <v>84</v>
      </c>
      <c r="P49" s="1">
        <v>109</v>
      </c>
      <c r="Q49" s="1">
        <v>73</v>
      </c>
      <c r="R49" s="1">
        <v>95</v>
      </c>
      <c r="S49" s="1">
        <v>15</v>
      </c>
      <c r="T49" s="1">
        <v>19</v>
      </c>
      <c r="U49" s="1">
        <v>26</v>
      </c>
      <c r="V49" s="1">
        <v>34</v>
      </c>
      <c r="W49" s="1">
        <v>30</v>
      </c>
      <c r="X49" s="1">
        <v>38</v>
      </c>
      <c r="Y49" s="1">
        <v>42</v>
      </c>
      <c r="Z49" s="1">
        <v>54</v>
      </c>
      <c r="AA49" s="1">
        <v>15</v>
      </c>
      <c r="AB49" s="1">
        <v>20</v>
      </c>
      <c r="AC49" s="1">
        <v>52</v>
      </c>
      <c r="AD49" s="1">
        <v>68</v>
      </c>
      <c r="AE49" s="1">
        <v>15</v>
      </c>
      <c r="AF49" s="1">
        <v>19</v>
      </c>
      <c r="AG49" s="1">
        <v>11</v>
      </c>
      <c r="AH49" s="1">
        <v>14</v>
      </c>
      <c r="AI49" s="1">
        <v>0</v>
      </c>
      <c r="AJ49">
        <v>22</v>
      </c>
    </row>
    <row r="50" spans="1:36" x14ac:dyDescent="0.15">
      <c r="A50">
        <v>23</v>
      </c>
      <c r="B50" s="1">
        <f t="shared" ref="B50:B56" si="72">O50</f>
        <v>84</v>
      </c>
      <c r="C50" s="1">
        <f t="shared" ref="C50:C56" si="73">P50</f>
        <v>109</v>
      </c>
      <c r="D50" s="1">
        <f t="shared" ref="D50:D56" si="74">Q50</f>
        <v>73</v>
      </c>
      <c r="E50" s="1">
        <f t="shared" ref="E50:E56" si="75">R50</f>
        <v>95</v>
      </c>
      <c r="F50" s="1">
        <f t="shared" ref="F50:F56" si="76">S50+Y50+AA50+AE50</f>
        <v>87</v>
      </c>
      <c r="G50" s="1">
        <f t="shared" ref="G50:G56" si="77">T50+Z50+AB50+AF50</f>
        <v>112</v>
      </c>
      <c r="H50">
        <f t="shared" ref="H50:H56" si="78">W50</f>
        <v>30</v>
      </c>
      <c r="I50">
        <f t="shared" ref="I50:I56" si="79">X50</f>
        <v>38</v>
      </c>
      <c r="J50">
        <f t="shared" ref="J50:J56" si="80">AC50</f>
        <v>52</v>
      </c>
      <c r="K50">
        <f t="shared" ref="K50:K56" si="81">AD50</f>
        <v>68</v>
      </c>
      <c r="L50">
        <f t="shared" ref="L50:L56" si="82">AG50</f>
        <v>11</v>
      </c>
      <c r="M50">
        <f t="shared" ref="M50:M56" si="83">AH50</f>
        <v>14</v>
      </c>
      <c r="N50">
        <f t="shared" ref="N50:N56" si="84">V50</f>
        <v>34</v>
      </c>
      <c r="O50" s="1">
        <v>84</v>
      </c>
      <c r="P50" s="1">
        <v>109</v>
      </c>
      <c r="Q50" s="1">
        <v>73</v>
      </c>
      <c r="R50" s="1">
        <v>95</v>
      </c>
      <c r="S50" s="1">
        <v>15</v>
      </c>
      <c r="T50" s="1">
        <v>19</v>
      </c>
      <c r="U50" s="1">
        <v>26</v>
      </c>
      <c r="V50" s="1">
        <v>34</v>
      </c>
      <c r="W50" s="1">
        <v>30</v>
      </c>
      <c r="X50" s="1">
        <v>38</v>
      </c>
      <c r="Y50" s="1">
        <v>42</v>
      </c>
      <c r="Z50" s="1">
        <v>54</v>
      </c>
      <c r="AA50" s="1">
        <v>15</v>
      </c>
      <c r="AB50" s="1">
        <v>20</v>
      </c>
      <c r="AC50" s="1">
        <v>52</v>
      </c>
      <c r="AD50" s="1">
        <v>68</v>
      </c>
      <c r="AE50" s="1">
        <v>15</v>
      </c>
      <c r="AF50" s="1">
        <v>19</v>
      </c>
      <c r="AG50" s="1">
        <v>11</v>
      </c>
      <c r="AH50" s="1">
        <v>14</v>
      </c>
      <c r="AI50" s="1">
        <v>0</v>
      </c>
      <c r="AJ50">
        <v>23</v>
      </c>
    </row>
    <row r="51" spans="1:36" x14ac:dyDescent="0.15">
      <c r="A51">
        <v>24</v>
      </c>
      <c r="B51" s="1">
        <f t="shared" si="72"/>
        <v>84</v>
      </c>
      <c r="C51" s="1">
        <f t="shared" si="73"/>
        <v>109</v>
      </c>
      <c r="D51" s="1">
        <f t="shared" si="74"/>
        <v>73</v>
      </c>
      <c r="E51" s="1">
        <f t="shared" si="75"/>
        <v>95</v>
      </c>
      <c r="F51" s="1">
        <f t="shared" si="76"/>
        <v>87</v>
      </c>
      <c r="G51" s="1">
        <f t="shared" si="77"/>
        <v>112</v>
      </c>
      <c r="H51">
        <f t="shared" si="78"/>
        <v>30</v>
      </c>
      <c r="I51">
        <f t="shared" si="79"/>
        <v>38</v>
      </c>
      <c r="J51">
        <f t="shared" si="80"/>
        <v>52</v>
      </c>
      <c r="K51">
        <f t="shared" si="81"/>
        <v>68</v>
      </c>
      <c r="L51">
        <f t="shared" si="82"/>
        <v>11</v>
      </c>
      <c r="M51">
        <f t="shared" si="83"/>
        <v>14</v>
      </c>
      <c r="N51">
        <f t="shared" si="84"/>
        <v>34</v>
      </c>
      <c r="O51" s="1">
        <v>84</v>
      </c>
      <c r="P51" s="1">
        <v>109</v>
      </c>
      <c r="Q51" s="1">
        <v>73</v>
      </c>
      <c r="R51" s="1">
        <v>95</v>
      </c>
      <c r="S51" s="1">
        <v>15</v>
      </c>
      <c r="T51" s="1">
        <v>19</v>
      </c>
      <c r="U51" s="1">
        <v>26</v>
      </c>
      <c r="V51" s="1">
        <v>34</v>
      </c>
      <c r="W51" s="1">
        <v>30</v>
      </c>
      <c r="X51" s="1">
        <v>38</v>
      </c>
      <c r="Y51" s="1">
        <v>42</v>
      </c>
      <c r="Z51" s="1">
        <v>54</v>
      </c>
      <c r="AA51" s="1">
        <v>15</v>
      </c>
      <c r="AB51" s="1">
        <v>20</v>
      </c>
      <c r="AC51" s="1">
        <v>52</v>
      </c>
      <c r="AD51" s="1">
        <v>68</v>
      </c>
      <c r="AE51" s="1">
        <v>15</v>
      </c>
      <c r="AF51" s="1">
        <v>19</v>
      </c>
      <c r="AG51" s="1">
        <v>11</v>
      </c>
      <c r="AH51" s="1">
        <v>14</v>
      </c>
      <c r="AI51" s="1">
        <v>0</v>
      </c>
      <c r="AJ51">
        <v>24</v>
      </c>
    </row>
    <row r="52" spans="1:36" x14ac:dyDescent="0.15">
      <c r="A52">
        <v>25</v>
      </c>
      <c r="B52" s="1">
        <f t="shared" si="72"/>
        <v>84</v>
      </c>
      <c r="C52" s="1">
        <f t="shared" si="73"/>
        <v>109</v>
      </c>
      <c r="D52" s="1">
        <f t="shared" si="74"/>
        <v>73</v>
      </c>
      <c r="E52" s="1">
        <f t="shared" si="75"/>
        <v>95</v>
      </c>
      <c r="F52" s="1">
        <f t="shared" si="76"/>
        <v>87</v>
      </c>
      <c r="G52" s="1">
        <f t="shared" si="77"/>
        <v>112</v>
      </c>
      <c r="H52">
        <f t="shared" si="78"/>
        <v>30</v>
      </c>
      <c r="I52">
        <f t="shared" si="79"/>
        <v>38</v>
      </c>
      <c r="J52">
        <f t="shared" si="80"/>
        <v>52</v>
      </c>
      <c r="K52">
        <f t="shared" si="81"/>
        <v>68</v>
      </c>
      <c r="L52">
        <f t="shared" si="82"/>
        <v>11</v>
      </c>
      <c r="M52">
        <f t="shared" si="83"/>
        <v>14</v>
      </c>
      <c r="N52">
        <f t="shared" si="84"/>
        <v>34</v>
      </c>
      <c r="O52" s="1">
        <v>84</v>
      </c>
      <c r="P52" s="1">
        <v>109</v>
      </c>
      <c r="Q52" s="1">
        <v>73</v>
      </c>
      <c r="R52" s="1">
        <v>95</v>
      </c>
      <c r="S52" s="1">
        <v>15</v>
      </c>
      <c r="T52" s="1">
        <v>19</v>
      </c>
      <c r="U52" s="1">
        <v>26</v>
      </c>
      <c r="V52" s="1">
        <v>34</v>
      </c>
      <c r="W52" s="1">
        <v>30</v>
      </c>
      <c r="X52" s="1">
        <v>38</v>
      </c>
      <c r="Y52" s="1">
        <v>42</v>
      </c>
      <c r="Z52" s="1">
        <v>54</v>
      </c>
      <c r="AA52" s="1">
        <v>15</v>
      </c>
      <c r="AB52" s="1">
        <v>20</v>
      </c>
      <c r="AC52" s="1">
        <v>52</v>
      </c>
      <c r="AD52" s="1">
        <v>68</v>
      </c>
      <c r="AE52" s="1">
        <v>15</v>
      </c>
      <c r="AF52" s="1">
        <v>19</v>
      </c>
      <c r="AG52" s="1">
        <v>11</v>
      </c>
      <c r="AH52" s="1">
        <v>14</v>
      </c>
      <c r="AI52" s="1">
        <v>0</v>
      </c>
      <c r="AJ52">
        <v>25</v>
      </c>
    </row>
    <row r="53" spans="1:36" x14ac:dyDescent="0.15">
      <c r="A53">
        <v>26</v>
      </c>
      <c r="B53" s="1">
        <f t="shared" si="72"/>
        <v>84</v>
      </c>
      <c r="C53" s="1">
        <f t="shared" si="73"/>
        <v>109</v>
      </c>
      <c r="D53" s="1">
        <f t="shared" si="74"/>
        <v>73</v>
      </c>
      <c r="E53" s="1">
        <f t="shared" si="75"/>
        <v>95</v>
      </c>
      <c r="F53" s="1">
        <f t="shared" si="76"/>
        <v>87</v>
      </c>
      <c r="G53" s="1">
        <f t="shared" si="77"/>
        <v>112</v>
      </c>
      <c r="H53">
        <f t="shared" si="78"/>
        <v>30</v>
      </c>
      <c r="I53">
        <f t="shared" si="79"/>
        <v>38</v>
      </c>
      <c r="J53">
        <f t="shared" si="80"/>
        <v>52</v>
      </c>
      <c r="K53">
        <f t="shared" si="81"/>
        <v>68</v>
      </c>
      <c r="L53">
        <f t="shared" si="82"/>
        <v>11</v>
      </c>
      <c r="M53">
        <f t="shared" si="83"/>
        <v>14</v>
      </c>
      <c r="N53">
        <f t="shared" si="84"/>
        <v>34</v>
      </c>
      <c r="O53" s="1">
        <v>84</v>
      </c>
      <c r="P53" s="1">
        <v>109</v>
      </c>
      <c r="Q53" s="1">
        <v>73</v>
      </c>
      <c r="R53" s="1">
        <v>95</v>
      </c>
      <c r="S53" s="1">
        <v>15</v>
      </c>
      <c r="T53" s="1">
        <v>19</v>
      </c>
      <c r="U53" s="1">
        <v>26</v>
      </c>
      <c r="V53" s="1">
        <v>34</v>
      </c>
      <c r="W53" s="1">
        <v>30</v>
      </c>
      <c r="X53" s="1">
        <v>38</v>
      </c>
      <c r="Y53" s="1">
        <v>42</v>
      </c>
      <c r="Z53" s="1">
        <v>54</v>
      </c>
      <c r="AA53" s="1">
        <v>15</v>
      </c>
      <c r="AB53" s="1">
        <v>20</v>
      </c>
      <c r="AC53" s="1">
        <v>52</v>
      </c>
      <c r="AD53" s="1">
        <v>68</v>
      </c>
      <c r="AE53" s="1">
        <v>15</v>
      </c>
      <c r="AF53" s="1">
        <v>19</v>
      </c>
      <c r="AG53" s="1">
        <v>11</v>
      </c>
      <c r="AH53" s="1">
        <v>14</v>
      </c>
      <c r="AI53" s="1">
        <v>0</v>
      </c>
      <c r="AJ53">
        <v>26</v>
      </c>
    </row>
    <row r="54" spans="1:36" x14ac:dyDescent="0.15">
      <c r="A54">
        <v>27</v>
      </c>
      <c r="B54" s="1">
        <f t="shared" si="72"/>
        <v>84</v>
      </c>
      <c r="C54" s="1">
        <f t="shared" si="73"/>
        <v>109</v>
      </c>
      <c r="D54" s="1">
        <f t="shared" si="74"/>
        <v>73</v>
      </c>
      <c r="E54" s="1">
        <f t="shared" si="75"/>
        <v>95</v>
      </c>
      <c r="F54" s="1">
        <f t="shared" si="76"/>
        <v>87</v>
      </c>
      <c r="G54" s="1">
        <f t="shared" si="77"/>
        <v>112</v>
      </c>
      <c r="H54">
        <f t="shared" si="78"/>
        <v>30</v>
      </c>
      <c r="I54">
        <f t="shared" si="79"/>
        <v>38</v>
      </c>
      <c r="J54">
        <f t="shared" si="80"/>
        <v>52</v>
      </c>
      <c r="K54">
        <f t="shared" si="81"/>
        <v>68</v>
      </c>
      <c r="L54">
        <f t="shared" si="82"/>
        <v>11</v>
      </c>
      <c r="M54">
        <f t="shared" si="83"/>
        <v>14</v>
      </c>
      <c r="N54">
        <f t="shared" si="84"/>
        <v>34</v>
      </c>
      <c r="O54" s="1">
        <v>84</v>
      </c>
      <c r="P54" s="1">
        <v>109</v>
      </c>
      <c r="Q54" s="1">
        <v>73</v>
      </c>
      <c r="R54" s="1">
        <v>95</v>
      </c>
      <c r="S54" s="1">
        <v>15</v>
      </c>
      <c r="T54" s="1">
        <v>19</v>
      </c>
      <c r="U54" s="1">
        <v>26</v>
      </c>
      <c r="V54" s="1">
        <v>34</v>
      </c>
      <c r="W54" s="1">
        <v>30</v>
      </c>
      <c r="X54" s="1">
        <v>38</v>
      </c>
      <c r="Y54" s="1">
        <v>42</v>
      </c>
      <c r="Z54" s="1">
        <v>54</v>
      </c>
      <c r="AA54" s="1">
        <v>15</v>
      </c>
      <c r="AB54" s="1">
        <v>20</v>
      </c>
      <c r="AC54" s="1">
        <v>52</v>
      </c>
      <c r="AD54" s="1">
        <v>68</v>
      </c>
      <c r="AE54" s="1">
        <v>15</v>
      </c>
      <c r="AF54" s="1">
        <v>19</v>
      </c>
      <c r="AG54" s="1">
        <v>11</v>
      </c>
      <c r="AH54" s="1">
        <v>14</v>
      </c>
      <c r="AI54" s="1">
        <v>0</v>
      </c>
      <c r="AJ54">
        <v>27</v>
      </c>
    </row>
    <row r="55" spans="1:36" x14ac:dyDescent="0.15">
      <c r="A55">
        <v>28</v>
      </c>
      <c r="B55" s="1">
        <f t="shared" si="72"/>
        <v>84</v>
      </c>
      <c r="C55" s="1">
        <f t="shared" si="73"/>
        <v>109</v>
      </c>
      <c r="D55" s="1">
        <f t="shared" si="74"/>
        <v>73</v>
      </c>
      <c r="E55" s="1">
        <f t="shared" si="75"/>
        <v>95</v>
      </c>
      <c r="F55" s="1">
        <f t="shared" si="76"/>
        <v>87</v>
      </c>
      <c r="G55" s="1">
        <f t="shared" si="77"/>
        <v>112</v>
      </c>
      <c r="H55">
        <f t="shared" si="78"/>
        <v>30</v>
      </c>
      <c r="I55">
        <f t="shared" si="79"/>
        <v>38</v>
      </c>
      <c r="J55">
        <f t="shared" si="80"/>
        <v>52</v>
      </c>
      <c r="K55">
        <f t="shared" si="81"/>
        <v>68</v>
      </c>
      <c r="L55">
        <f t="shared" si="82"/>
        <v>11</v>
      </c>
      <c r="M55">
        <f t="shared" si="83"/>
        <v>14</v>
      </c>
      <c r="N55">
        <f t="shared" si="84"/>
        <v>34</v>
      </c>
      <c r="O55" s="1">
        <v>84</v>
      </c>
      <c r="P55" s="1">
        <v>109</v>
      </c>
      <c r="Q55" s="1">
        <v>73</v>
      </c>
      <c r="R55" s="1">
        <v>95</v>
      </c>
      <c r="S55" s="1">
        <v>15</v>
      </c>
      <c r="T55" s="1">
        <v>19</v>
      </c>
      <c r="U55" s="1">
        <v>26</v>
      </c>
      <c r="V55" s="1">
        <v>34</v>
      </c>
      <c r="W55" s="1">
        <v>30</v>
      </c>
      <c r="X55" s="1">
        <v>38</v>
      </c>
      <c r="Y55" s="1">
        <v>42</v>
      </c>
      <c r="Z55" s="1">
        <v>54</v>
      </c>
      <c r="AA55" s="1">
        <v>15</v>
      </c>
      <c r="AB55" s="1">
        <v>20</v>
      </c>
      <c r="AC55" s="1">
        <v>52</v>
      </c>
      <c r="AD55" s="1">
        <v>68</v>
      </c>
      <c r="AE55" s="1">
        <v>15</v>
      </c>
      <c r="AF55" s="1">
        <v>19</v>
      </c>
      <c r="AG55" s="1">
        <v>11</v>
      </c>
      <c r="AH55" s="1">
        <v>14</v>
      </c>
      <c r="AI55" s="1">
        <v>0</v>
      </c>
      <c r="AJ55">
        <v>28</v>
      </c>
    </row>
    <row r="56" spans="1:36" x14ac:dyDescent="0.15">
      <c r="A56">
        <v>29</v>
      </c>
      <c r="B56" s="1">
        <f t="shared" si="72"/>
        <v>84</v>
      </c>
      <c r="C56" s="1">
        <f t="shared" si="73"/>
        <v>109</v>
      </c>
      <c r="D56" s="1">
        <f t="shared" si="74"/>
        <v>73</v>
      </c>
      <c r="E56" s="1">
        <f t="shared" si="75"/>
        <v>95</v>
      </c>
      <c r="F56" s="1">
        <f t="shared" si="76"/>
        <v>87</v>
      </c>
      <c r="G56" s="1">
        <f t="shared" si="77"/>
        <v>112</v>
      </c>
      <c r="H56">
        <f t="shared" si="78"/>
        <v>30</v>
      </c>
      <c r="I56">
        <f t="shared" si="79"/>
        <v>38</v>
      </c>
      <c r="J56">
        <f t="shared" si="80"/>
        <v>52</v>
      </c>
      <c r="K56">
        <f t="shared" si="81"/>
        <v>68</v>
      </c>
      <c r="L56">
        <f t="shared" si="82"/>
        <v>11</v>
      </c>
      <c r="M56">
        <f t="shared" si="83"/>
        <v>14</v>
      </c>
      <c r="N56">
        <f t="shared" si="84"/>
        <v>34</v>
      </c>
      <c r="O56" s="1">
        <v>84</v>
      </c>
      <c r="P56" s="1">
        <v>109</v>
      </c>
      <c r="Q56" s="1">
        <v>73</v>
      </c>
      <c r="R56" s="1">
        <v>95</v>
      </c>
      <c r="S56" s="1">
        <v>15</v>
      </c>
      <c r="T56" s="1">
        <v>19</v>
      </c>
      <c r="U56" s="1">
        <v>26</v>
      </c>
      <c r="V56" s="1">
        <v>34</v>
      </c>
      <c r="W56" s="1">
        <v>30</v>
      </c>
      <c r="X56" s="1">
        <v>38</v>
      </c>
      <c r="Y56" s="1">
        <v>42</v>
      </c>
      <c r="Z56" s="1">
        <v>54</v>
      </c>
      <c r="AA56" s="1">
        <v>15</v>
      </c>
      <c r="AB56" s="1">
        <v>20</v>
      </c>
      <c r="AC56" s="1">
        <v>52</v>
      </c>
      <c r="AD56" s="1">
        <v>68</v>
      </c>
      <c r="AE56" s="1">
        <v>15</v>
      </c>
      <c r="AF56" s="1">
        <v>19</v>
      </c>
      <c r="AG56" s="1">
        <v>11</v>
      </c>
      <c r="AH56" s="1">
        <v>14</v>
      </c>
      <c r="AI56" s="1">
        <v>0</v>
      </c>
      <c r="AJ56">
        <v>29</v>
      </c>
    </row>
    <row r="57" spans="1:36" x14ac:dyDescent="0.15">
      <c r="A57">
        <v>30</v>
      </c>
      <c r="B57" s="1">
        <f t="shared" si="20"/>
        <v>120</v>
      </c>
      <c r="C57" s="1">
        <f t="shared" si="21"/>
        <v>156</v>
      </c>
      <c r="D57" s="1">
        <f t="shared" si="22"/>
        <v>105</v>
      </c>
      <c r="E57" s="1">
        <f t="shared" si="23"/>
        <v>136</v>
      </c>
      <c r="F57" s="1">
        <f t="shared" si="24"/>
        <v>120</v>
      </c>
      <c r="G57" s="1">
        <f t="shared" si="25"/>
        <v>155</v>
      </c>
      <c r="H57">
        <f t="shared" si="26"/>
        <v>43</v>
      </c>
      <c r="I57">
        <f t="shared" si="27"/>
        <v>55</v>
      </c>
      <c r="J57">
        <f t="shared" si="28"/>
        <v>73</v>
      </c>
      <c r="K57">
        <f t="shared" si="29"/>
        <v>95</v>
      </c>
      <c r="L57">
        <f t="shared" si="30"/>
        <v>14</v>
      </c>
      <c r="M57">
        <f t="shared" si="31"/>
        <v>18</v>
      </c>
      <c r="N57">
        <f t="shared" si="32"/>
        <v>47</v>
      </c>
      <c r="O57" s="1">
        <v>120</v>
      </c>
      <c r="P57" s="1">
        <v>156</v>
      </c>
      <c r="Q57" s="1">
        <v>105</v>
      </c>
      <c r="R57" s="1">
        <v>136</v>
      </c>
      <c r="S57" s="1">
        <v>21</v>
      </c>
      <c r="T57" s="1">
        <v>27</v>
      </c>
      <c r="U57" s="1">
        <v>36</v>
      </c>
      <c r="V57" s="1">
        <v>47</v>
      </c>
      <c r="W57" s="1">
        <v>43</v>
      </c>
      <c r="X57" s="1">
        <v>55</v>
      </c>
      <c r="Y57" s="1">
        <v>57</v>
      </c>
      <c r="Z57" s="1">
        <v>74</v>
      </c>
      <c r="AA57" s="1">
        <v>21</v>
      </c>
      <c r="AB57" s="1">
        <v>27</v>
      </c>
      <c r="AC57" s="1">
        <v>73</v>
      </c>
      <c r="AD57" s="1">
        <v>95</v>
      </c>
      <c r="AE57" s="1">
        <v>21</v>
      </c>
      <c r="AF57" s="1">
        <v>27</v>
      </c>
      <c r="AG57" s="1">
        <v>14</v>
      </c>
      <c r="AH57" s="1">
        <v>18</v>
      </c>
      <c r="AI57" s="1">
        <v>0</v>
      </c>
      <c r="AJ57">
        <v>30</v>
      </c>
    </row>
    <row r="58" spans="1:36" x14ac:dyDescent="0.15">
      <c r="A58">
        <v>31</v>
      </c>
      <c r="B58" s="1">
        <f t="shared" ref="B58:B59" si="85">O58</f>
        <v>120</v>
      </c>
      <c r="C58" s="1">
        <f t="shared" ref="C58:C59" si="86">P58</f>
        <v>156</v>
      </c>
      <c r="D58" s="1">
        <f t="shared" ref="D58:D59" si="87">Q58</f>
        <v>105</v>
      </c>
      <c r="E58" s="1">
        <f t="shared" ref="E58:E59" si="88">R58</f>
        <v>136</v>
      </c>
      <c r="F58" s="1">
        <f t="shared" ref="F58:F59" si="89">S58+Y58+AA58+AE58</f>
        <v>120</v>
      </c>
      <c r="G58" s="1">
        <f t="shared" ref="G58:G59" si="90">T58+Z58+AB58+AF58</f>
        <v>155</v>
      </c>
      <c r="H58">
        <f t="shared" ref="H58:H59" si="91">W58</f>
        <v>43</v>
      </c>
      <c r="I58">
        <f t="shared" ref="I58:I59" si="92">X58</f>
        <v>55</v>
      </c>
      <c r="J58">
        <f t="shared" ref="J58:J59" si="93">AC58</f>
        <v>73</v>
      </c>
      <c r="K58">
        <f t="shared" ref="K58:K59" si="94">AD58</f>
        <v>95</v>
      </c>
      <c r="L58">
        <f t="shared" ref="L58:L59" si="95">AG58</f>
        <v>14</v>
      </c>
      <c r="M58">
        <f t="shared" ref="M58:M59" si="96">AH58</f>
        <v>18</v>
      </c>
      <c r="N58">
        <f t="shared" ref="N58:N59" si="97">V58</f>
        <v>47</v>
      </c>
      <c r="O58" s="1">
        <v>120</v>
      </c>
      <c r="P58" s="1">
        <v>156</v>
      </c>
      <c r="Q58" s="1">
        <v>105</v>
      </c>
      <c r="R58" s="1">
        <v>136</v>
      </c>
      <c r="S58" s="1">
        <v>21</v>
      </c>
      <c r="T58" s="1">
        <v>27</v>
      </c>
      <c r="U58" s="1">
        <v>36</v>
      </c>
      <c r="V58" s="1">
        <v>47</v>
      </c>
      <c r="W58" s="1">
        <v>43</v>
      </c>
      <c r="X58" s="1">
        <v>55</v>
      </c>
      <c r="Y58" s="1">
        <v>57</v>
      </c>
      <c r="Z58" s="1">
        <v>74</v>
      </c>
      <c r="AA58" s="1">
        <v>21</v>
      </c>
      <c r="AB58" s="1">
        <v>27</v>
      </c>
      <c r="AC58" s="1">
        <v>73</v>
      </c>
      <c r="AD58" s="1">
        <v>95</v>
      </c>
      <c r="AE58" s="1">
        <v>21</v>
      </c>
      <c r="AF58" s="1">
        <v>27</v>
      </c>
      <c r="AG58" s="1">
        <v>14</v>
      </c>
      <c r="AH58" s="1">
        <v>18</v>
      </c>
      <c r="AI58" s="1">
        <v>0</v>
      </c>
      <c r="AJ58">
        <v>31</v>
      </c>
    </row>
    <row r="59" spans="1:36" x14ac:dyDescent="0.15">
      <c r="A59">
        <v>32</v>
      </c>
      <c r="B59" s="1">
        <f t="shared" si="85"/>
        <v>120</v>
      </c>
      <c r="C59" s="1">
        <f t="shared" si="86"/>
        <v>156</v>
      </c>
      <c r="D59" s="1">
        <f t="shared" si="87"/>
        <v>105</v>
      </c>
      <c r="E59" s="1">
        <f t="shared" si="88"/>
        <v>136</v>
      </c>
      <c r="F59" s="1">
        <f t="shared" si="89"/>
        <v>120</v>
      </c>
      <c r="G59" s="1">
        <f t="shared" si="90"/>
        <v>155</v>
      </c>
      <c r="H59">
        <f t="shared" si="91"/>
        <v>43</v>
      </c>
      <c r="I59">
        <f t="shared" si="92"/>
        <v>55</v>
      </c>
      <c r="J59">
        <f t="shared" si="93"/>
        <v>73</v>
      </c>
      <c r="K59">
        <f t="shared" si="94"/>
        <v>95</v>
      </c>
      <c r="L59">
        <f t="shared" si="95"/>
        <v>14</v>
      </c>
      <c r="M59">
        <f t="shared" si="96"/>
        <v>18</v>
      </c>
      <c r="N59">
        <f t="shared" si="97"/>
        <v>47</v>
      </c>
      <c r="O59" s="1">
        <v>120</v>
      </c>
      <c r="P59" s="1">
        <v>156</v>
      </c>
      <c r="Q59" s="1">
        <v>105</v>
      </c>
      <c r="R59" s="1">
        <v>136</v>
      </c>
      <c r="S59" s="1">
        <v>21</v>
      </c>
      <c r="T59" s="1">
        <v>27</v>
      </c>
      <c r="U59" s="1">
        <v>36</v>
      </c>
      <c r="V59" s="1">
        <v>47</v>
      </c>
      <c r="W59" s="1">
        <v>43</v>
      </c>
      <c r="X59" s="1">
        <v>55</v>
      </c>
      <c r="Y59" s="1">
        <v>57</v>
      </c>
      <c r="Z59" s="1">
        <v>74</v>
      </c>
      <c r="AA59" s="1">
        <v>21</v>
      </c>
      <c r="AB59" s="1">
        <v>27</v>
      </c>
      <c r="AC59" s="1">
        <v>73</v>
      </c>
      <c r="AD59" s="1">
        <v>95</v>
      </c>
      <c r="AE59" s="1">
        <v>21</v>
      </c>
      <c r="AF59" s="1">
        <v>27</v>
      </c>
      <c r="AG59" s="1">
        <v>14</v>
      </c>
      <c r="AH59" s="1">
        <v>18</v>
      </c>
      <c r="AI59" s="1">
        <v>0</v>
      </c>
      <c r="AJ59">
        <v>32</v>
      </c>
    </row>
    <row r="60" spans="1:36" x14ac:dyDescent="0.15">
      <c r="A60">
        <v>33</v>
      </c>
      <c r="B60" s="1">
        <f t="shared" ref="B60:B66" si="98">O60</f>
        <v>120</v>
      </c>
      <c r="C60" s="1">
        <f t="shared" ref="C60:C66" si="99">P60</f>
        <v>156</v>
      </c>
      <c r="D60" s="1">
        <f t="shared" ref="D60:D66" si="100">Q60</f>
        <v>105</v>
      </c>
      <c r="E60" s="1">
        <f t="shared" ref="E60:E66" si="101">R60</f>
        <v>136</v>
      </c>
      <c r="F60" s="1">
        <f t="shared" ref="F60:F66" si="102">S60+Y60+AA60+AE60</f>
        <v>120</v>
      </c>
      <c r="G60" s="1">
        <f t="shared" ref="G60:G66" si="103">T60+Z60+AB60+AF60</f>
        <v>155</v>
      </c>
      <c r="H60">
        <f t="shared" ref="H60:H66" si="104">W60</f>
        <v>43</v>
      </c>
      <c r="I60">
        <f t="shared" ref="I60:I66" si="105">X60</f>
        <v>55</v>
      </c>
      <c r="J60">
        <f t="shared" ref="J60:J66" si="106">AC60</f>
        <v>73</v>
      </c>
      <c r="K60">
        <f t="shared" ref="K60:K66" si="107">AD60</f>
        <v>95</v>
      </c>
      <c r="L60">
        <f t="shared" ref="L60:L66" si="108">AG60</f>
        <v>14</v>
      </c>
      <c r="M60">
        <f t="shared" ref="M60:M66" si="109">AH60</f>
        <v>18</v>
      </c>
      <c r="N60">
        <f t="shared" ref="N60:N66" si="110">V60</f>
        <v>47</v>
      </c>
      <c r="O60" s="1">
        <v>120</v>
      </c>
      <c r="P60" s="1">
        <v>156</v>
      </c>
      <c r="Q60" s="1">
        <v>105</v>
      </c>
      <c r="R60" s="1">
        <v>136</v>
      </c>
      <c r="S60" s="1">
        <v>21</v>
      </c>
      <c r="T60" s="1">
        <v>27</v>
      </c>
      <c r="U60" s="1">
        <v>36</v>
      </c>
      <c r="V60" s="1">
        <v>47</v>
      </c>
      <c r="W60" s="1">
        <v>43</v>
      </c>
      <c r="X60" s="1">
        <v>55</v>
      </c>
      <c r="Y60" s="1">
        <v>57</v>
      </c>
      <c r="Z60" s="1">
        <v>74</v>
      </c>
      <c r="AA60" s="1">
        <v>21</v>
      </c>
      <c r="AB60" s="1">
        <v>27</v>
      </c>
      <c r="AC60" s="1">
        <v>73</v>
      </c>
      <c r="AD60" s="1">
        <v>95</v>
      </c>
      <c r="AE60" s="1">
        <v>21</v>
      </c>
      <c r="AF60" s="1">
        <v>27</v>
      </c>
      <c r="AG60" s="1">
        <v>14</v>
      </c>
      <c r="AH60" s="1">
        <v>18</v>
      </c>
      <c r="AI60" s="1">
        <v>0</v>
      </c>
      <c r="AJ60">
        <v>33</v>
      </c>
    </row>
    <row r="61" spans="1:36" x14ac:dyDescent="0.15">
      <c r="A61">
        <v>34</v>
      </c>
      <c r="B61" s="1">
        <f t="shared" si="98"/>
        <v>120</v>
      </c>
      <c r="C61" s="1">
        <f t="shared" si="99"/>
        <v>156</v>
      </c>
      <c r="D61" s="1">
        <f t="shared" si="100"/>
        <v>105</v>
      </c>
      <c r="E61" s="1">
        <f t="shared" si="101"/>
        <v>136</v>
      </c>
      <c r="F61" s="1">
        <f t="shared" si="102"/>
        <v>120</v>
      </c>
      <c r="G61" s="1">
        <f t="shared" si="103"/>
        <v>155</v>
      </c>
      <c r="H61">
        <f t="shared" si="104"/>
        <v>43</v>
      </c>
      <c r="I61">
        <f t="shared" si="105"/>
        <v>55</v>
      </c>
      <c r="J61">
        <f t="shared" si="106"/>
        <v>73</v>
      </c>
      <c r="K61">
        <f t="shared" si="107"/>
        <v>95</v>
      </c>
      <c r="L61">
        <f t="shared" si="108"/>
        <v>14</v>
      </c>
      <c r="M61">
        <f t="shared" si="109"/>
        <v>18</v>
      </c>
      <c r="N61">
        <f t="shared" si="110"/>
        <v>47</v>
      </c>
      <c r="O61" s="1">
        <v>120</v>
      </c>
      <c r="P61" s="1">
        <v>156</v>
      </c>
      <c r="Q61" s="1">
        <v>105</v>
      </c>
      <c r="R61" s="1">
        <v>136</v>
      </c>
      <c r="S61" s="1">
        <v>21</v>
      </c>
      <c r="T61" s="1">
        <v>27</v>
      </c>
      <c r="U61" s="1">
        <v>36</v>
      </c>
      <c r="V61" s="1">
        <v>47</v>
      </c>
      <c r="W61" s="1">
        <v>43</v>
      </c>
      <c r="X61" s="1">
        <v>55</v>
      </c>
      <c r="Y61" s="1">
        <v>57</v>
      </c>
      <c r="Z61" s="1">
        <v>74</v>
      </c>
      <c r="AA61" s="1">
        <v>21</v>
      </c>
      <c r="AB61" s="1">
        <v>27</v>
      </c>
      <c r="AC61" s="1">
        <v>73</v>
      </c>
      <c r="AD61" s="1">
        <v>95</v>
      </c>
      <c r="AE61" s="1">
        <v>21</v>
      </c>
      <c r="AF61" s="1">
        <v>27</v>
      </c>
      <c r="AG61" s="1">
        <v>14</v>
      </c>
      <c r="AH61" s="1">
        <v>18</v>
      </c>
      <c r="AI61" s="1">
        <v>0</v>
      </c>
      <c r="AJ61">
        <v>34</v>
      </c>
    </row>
    <row r="62" spans="1:36" x14ac:dyDescent="0.15">
      <c r="A62">
        <v>35</v>
      </c>
      <c r="B62" s="1">
        <f t="shared" si="98"/>
        <v>120</v>
      </c>
      <c r="C62" s="1">
        <f t="shared" si="99"/>
        <v>156</v>
      </c>
      <c r="D62" s="1">
        <f t="shared" si="100"/>
        <v>105</v>
      </c>
      <c r="E62" s="1">
        <f t="shared" si="101"/>
        <v>136</v>
      </c>
      <c r="F62" s="1">
        <f t="shared" si="102"/>
        <v>120</v>
      </c>
      <c r="G62" s="1">
        <f t="shared" si="103"/>
        <v>155</v>
      </c>
      <c r="H62">
        <f t="shared" si="104"/>
        <v>43</v>
      </c>
      <c r="I62">
        <f t="shared" si="105"/>
        <v>55</v>
      </c>
      <c r="J62">
        <f t="shared" si="106"/>
        <v>73</v>
      </c>
      <c r="K62">
        <f t="shared" si="107"/>
        <v>95</v>
      </c>
      <c r="L62">
        <f t="shared" si="108"/>
        <v>14</v>
      </c>
      <c r="M62">
        <f t="shared" si="109"/>
        <v>18</v>
      </c>
      <c r="N62">
        <f t="shared" si="110"/>
        <v>47</v>
      </c>
      <c r="O62" s="1">
        <v>120</v>
      </c>
      <c r="P62" s="1">
        <v>156</v>
      </c>
      <c r="Q62" s="1">
        <v>105</v>
      </c>
      <c r="R62" s="1">
        <v>136</v>
      </c>
      <c r="S62" s="1">
        <v>21</v>
      </c>
      <c r="T62" s="1">
        <v>27</v>
      </c>
      <c r="U62" s="1">
        <v>36</v>
      </c>
      <c r="V62" s="1">
        <v>47</v>
      </c>
      <c r="W62" s="1">
        <v>43</v>
      </c>
      <c r="X62" s="1">
        <v>55</v>
      </c>
      <c r="Y62" s="1">
        <v>57</v>
      </c>
      <c r="Z62" s="1">
        <v>74</v>
      </c>
      <c r="AA62" s="1">
        <v>21</v>
      </c>
      <c r="AB62" s="1">
        <v>27</v>
      </c>
      <c r="AC62" s="1">
        <v>73</v>
      </c>
      <c r="AD62" s="1">
        <v>95</v>
      </c>
      <c r="AE62" s="1">
        <v>21</v>
      </c>
      <c r="AF62" s="1">
        <v>27</v>
      </c>
      <c r="AG62" s="1">
        <v>14</v>
      </c>
      <c r="AH62" s="1">
        <v>18</v>
      </c>
      <c r="AI62" s="1">
        <v>0</v>
      </c>
      <c r="AJ62">
        <v>35</v>
      </c>
    </row>
    <row r="63" spans="1:36" x14ac:dyDescent="0.15">
      <c r="A63">
        <v>36</v>
      </c>
      <c r="B63" s="1">
        <f t="shared" si="98"/>
        <v>120</v>
      </c>
      <c r="C63" s="1">
        <f t="shared" si="99"/>
        <v>156</v>
      </c>
      <c r="D63" s="1">
        <f t="shared" si="100"/>
        <v>105</v>
      </c>
      <c r="E63" s="1">
        <f t="shared" si="101"/>
        <v>136</v>
      </c>
      <c r="F63" s="1">
        <f t="shared" si="102"/>
        <v>120</v>
      </c>
      <c r="G63" s="1">
        <f t="shared" si="103"/>
        <v>155</v>
      </c>
      <c r="H63">
        <f t="shared" si="104"/>
        <v>43</v>
      </c>
      <c r="I63">
        <f t="shared" si="105"/>
        <v>55</v>
      </c>
      <c r="J63">
        <f t="shared" si="106"/>
        <v>73</v>
      </c>
      <c r="K63">
        <f t="shared" si="107"/>
        <v>95</v>
      </c>
      <c r="L63">
        <f t="shared" si="108"/>
        <v>14</v>
      </c>
      <c r="M63">
        <f t="shared" si="109"/>
        <v>18</v>
      </c>
      <c r="N63">
        <f t="shared" si="110"/>
        <v>47</v>
      </c>
      <c r="O63" s="1">
        <v>120</v>
      </c>
      <c r="P63" s="1">
        <v>156</v>
      </c>
      <c r="Q63" s="1">
        <v>105</v>
      </c>
      <c r="R63" s="1">
        <v>136</v>
      </c>
      <c r="S63" s="1">
        <v>21</v>
      </c>
      <c r="T63" s="1">
        <v>27</v>
      </c>
      <c r="U63" s="1">
        <v>36</v>
      </c>
      <c r="V63" s="1">
        <v>47</v>
      </c>
      <c r="W63" s="1">
        <v>43</v>
      </c>
      <c r="X63" s="1">
        <v>55</v>
      </c>
      <c r="Y63" s="1">
        <v>57</v>
      </c>
      <c r="Z63" s="1">
        <v>74</v>
      </c>
      <c r="AA63" s="1">
        <v>21</v>
      </c>
      <c r="AB63" s="1">
        <v>27</v>
      </c>
      <c r="AC63" s="1">
        <v>73</v>
      </c>
      <c r="AD63" s="1">
        <v>95</v>
      </c>
      <c r="AE63" s="1">
        <v>21</v>
      </c>
      <c r="AF63" s="1">
        <v>27</v>
      </c>
      <c r="AG63" s="1">
        <v>14</v>
      </c>
      <c r="AH63" s="1">
        <v>18</v>
      </c>
      <c r="AI63" s="1">
        <v>0</v>
      </c>
      <c r="AJ63">
        <v>36</v>
      </c>
    </row>
    <row r="64" spans="1:36" x14ac:dyDescent="0.15">
      <c r="A64">
        <v>37</v>
      </c>
      <c r="B64" s="1">
        <f t="shared" si="98"/>
        <v>120</v>
      </c>
      <c r="C64" s="1">
        <f t="shared" si="99"/>
        <v>156</v>
      </c>
      <c r="D64" s="1">
        <f t="shared" si="100"/>
        <v>105</v>
      </c>
      <c r="E64" s="1">
        <f t="shared" si="101"/>
        <v>136</v>
      </c>
      <c r="F64" s="1">
        <f t="shared" si="102"/>
        <v>120</v>
      </c>
      <c r="G64" s="1">
        <f t="shared" si="103"/>
        <v>155</v>
      </c>
      <c r="H64">
        <f t="shared" si="104"/>
        <v>43</v>
      </c>
      <c r="I64">
        <f t="shared" si="105"/>
        <v>55</v>
      </c>
      <c r="J64">
        <f t="shared" si="106"/>
        <v>73</v>
      </c>
      <c r="K64">
        <f t="shared" si="107"/>
        <v>95</v>
      </c>
      <c r="L64">
        <f t="shared" si="108"/>
        <v>14</v>
      </c>
      <c r="M64">
        <f t="shared" si="109"/>
        <v>18</v>
      </c>
      <c r="N64">
        <f t="shared" si="110"/>
        <v>47</v>
      </c>
      <c r="O64" s="1">
        <v>120</v>
      </c>
      <c r="P64" s="1">
        <v>156</v>
      </c>
      <c r="Q64" s="1">
        <v>105</v>
      </c>
      <c r="R64" s="1">
        <v>136</v>
      </c>
      <c r="S64" s="1">
        <v>21</v>
      </c>
      <c r="T64" s="1">
        <v>27</v>
      </c>
      <c r="U64" s="1">
        <v>36</v>
      </c>
      <c r="V64" s="1">
        <v>47</v>
      </c>
      <c r="W64" s="1">
        <v>43</v>
      </c>
      <c r="X64" s="1">
        <v>55</v>
      </c>
      <c r="Y64" s="1">
        <v>57</v>
      </c>
      <c r="Z64" s="1">
        <v>74</v>
      </c>
      <c r="AA64" s="1">
        <v>21</v>
      </c>
      <c r="AB64" s="1">
        <v>27</v>
      </c>
      <c r="AC64" s="1">
        <v>73</v>
      </c>
      <c r="AD64" s="1">
        <v>95</v>
      </c>
      <c r="AE64" s="1">
        <v>21</v>
      </c>
      <c r="AF64" s="1">
        <v>27</v>
      </c>
      <c r="AG64" s="1">
        <v>14</v>
      </c>
      <c r="AH64" s="1">
        <v>18</v>
      </c>
      <c r="AI64" s="1">
        <v>0</v>
      </c>
      <c r="AJ64">
        <v>37</v>
      </c>
    </row>
    <row r="65" spans="1:36" x14ac:dyDescent="0.15">
      <c r="A65">
        <v>38</v>
      </c>
      <c r="B65" s="1">
        <f t="shared" si="98"/>
        <v>120</v>
      </c>
      <c r="C65" s="1">
        <f t="shared" si="99"/>
        <v>156</v>
      </c>
      <c r="D65" s="1">
        <f t="shared" si="100"/>
        <v>105</v>
      </c>
      <c r="E65" s="1">
        <f t="shared" si="101"/>
        <v>136</v>
      </c>
      <c r="F65" s="1">
        <f t="shared" si="102"/>
        <v>120</v>
      </c>
      <c r="G65" s="1">
        <f t="shared" si="103"/>
        <v>155</v>
      </c>
      <c r="H65">
        <f t="shared" si="104"/>
        <v>43</v>
      </c>
      <c r="I65">
        <f t="shared" si="105"/>
        <v>55</v>
      </c>
      <c r="J65">
        <f t="shared" si="106"/>
        <v>73</v>
      </c>
      <c r="K65">
        <f t="shared" si="107"/>
        <v>95</v>
      </c>
      <c r="L65">
        <f t="shared" si="108"/>
        <v>14</v>
      </c>
      <c r="M65">
        <f t="shared" si="109"/>
        <v>18</v>
      </c>
      <c r="N65">
        <f t="shared" si="110"/>
        <v>47</v>
      </c>
      <c r="O65" s="1">
        <v>120</v>
      </c>
      <c r="P65" s="1">
        <v>156</v>
      </c>
      <c r="Q65" s="1">
        <v>105</v>
      </c>
      <c r="R65" s="1">
        <v>136</v>
      </c>
      <c r="S65" s="1">
        <v>21</v>
      </c>
      <c r="T65" s="1">
        <v>27</v>
      </c>
      <c r="U65" s="1">
        <v>36</v>
      </c>
      <c r="V65" s="1">
        <v>47</v>
      </c>
      <c r="W65" s="1">
        <v>43</v>
      </c>
      <c r="X65" s="1">
        <v>55</v>
      </c>
      <c r="Y65" s="1">
        <v>57</v>
      </c>
      <c r="Z65" s="1">
        <v>74</v>
      </c>
      <c r="AA65" s="1">
        <v>21</v>
      </c>
      <c r="AB65" s="1">
        <v>27</v>
      </c>
      <c r="AC65" s="1">
        <v>73</v>
      </c>
      <c r="AD65" s="1">
        <v>95</v>
      </c>
      <c r="AE65" s="1">
        <v>21</v>
      </c>
      <c r="AF65" s="1">
        <v>27</v>
      </c>
      <c r="AG65" s="1">
        <v>14</v>
      </c>
      <c r="AH65" s="1">
        <v>18</v>
      </c>
      <c r="AI65" s="1">
        <v>0</v>
      </c>
      <c r="AJ65">
        <v>38</v>
      </c>
    </row>
    <row r="66" spans="1:36" x14ac:dyDescent="0.15">
      <c r="A66">
        <v>39</v>
      </c>
      <c r="B66" s="1">
        <f t="shared" si="98"/>
        <v>120</v>
      </c>
      <c r="C66" s="1">
        <f t="shared" si="99"/>
        <v>156</v>
      </c>
      <c r="D66" s="1">
        <f t="shared" si="100"/>
        <v>105</v>
      </c>
      <c r="E66" s="1">
        <f t="shared" si="101"/>
        <v>136</v>
      </c>
      <c r="F66" s="1">
        <f t="shared" si="102"/>
        <v>120</v>
      </c>
      <c r="G66" s="1">
        <f t="shared" si="103"/>
        <v>155</v>
      </c>
      <c r="H66">
        <f t="shared" si="104"/>
        <v>43</v>
      </c>
      <c r="I66">
        <f t="shared" si="105"/>
        <v>55</v>
      </c>
      <c r="J66">
        <f t="shared" si="106"/>
        <v>73</v>
      </c>
      <c r="K66">
        <f t="shared" si="107"/>
        <v>95</v>
      </c>
      <c r="L66">
        <f t="shared" si="108"/>
        <v>14</v>
      </c>
      <c r="M66">
        <f t="shared" si="109"/>
        <v>18</v>
      </c>
      <c r="N66">
        <f t="shared" si="110"/>
        <v>47</v>
      </c>
      <c r="O66" s="1">
        <v>120</v>
      </c>
      <c r="P66" s="1">
        <v>156</v>
      </c>
      <c r="Q66" s="1">
        <v>105</v>
      </c>
      <c r="R66" s="1">
        <v>136</v>
      </c>
      <c r="S66" s="1">
        <v>21</v>
      </c>
      <c r="T66" s="1">
        <v>27</v>
      </c>
      <c r="U66" s="1">
        <v>36</v>
      </c>
      <c r="V66" s="1">
        <v>47</v>
      </c>
      <c r="W66" s="1">
        <v>43</v>
      </c>
      <c r="X66" s="1">
        <v>55</v>
      </c>
      <c r="Y66" s="1">
        <v>57</v>
      </c>
      <c r="Z66" s="1">
        <v>74</v>
      </c>
      <c r="AA66" s="1">
        <v>21</v>
      </c>
      <c r="AB66" s="1">
        <v>27</v>
      </c>
      <c r="AC66" s="1">
        <v>73</v>
      </c>
      <c r="AD66" s="1">
        <v>95</v>
      </c>
      <c r="AE66" s="1">
        <v>21</v>
      </c>
      <c r="AF66" s="1">
        <v>27</v>
      </c>
      <c r="AG66" s="1">
        <v>14</v>
      </c>
      <c r="AH66" s="1">
        <v>18</v>
      </c>
      <c r="AI66" s="1">
        <v>0</v>
      </c>
      <c r="AJ66">
        <v>39</v>
      </c>
    </row>
    <row r="67" spans="1:36" x14ac:dyDescent="0.15">
      <c r="A67">
        <v>40</v>
      </c>
      <c r="B67" s="1">
        <f t="shared" si="20"/>
        <v>157</v>
      </c>
      <c r="C67" s="1">
        <f t="shared" si="21"/>
        <v>204</v>
      </c>
      <c r="D67" s="1">
        <f t="shared" si="22"/>
        <v>136</v>
      </c>
      <c r="E67" s="1">
        <f t="shared" si="23"/>
        <v>177</v>
      </c>
      <c r="F67" s="1">
        <f t="shared" si="24"/>
        <v>151</v>
      </c>
      <c r="G67" s="1">
        <f t="shared" si="25"/>
        <v>195</v>
      </c>
      <c r="H67">
        <f t="shared" si="26"/>
        <v>55</v>
      </c>
      <c r="I67">
        <f t="shared" si="27"/>
        <v>71</v>
      </c>
      <c r="J67">
        <f t="shared" si="28"/>
        <v>94</v>
      </c>
      <c r="K67">
        <f t="shared" si="29"/>
        <v>122</v>
      </c>
      <c r="L67">
        <f t="shared" si="30"/>
        <v>17</v>
      </c>
      <c r="M67">
        <f t="shared" si="31"/>
        <v>22</v>
      </c>
      <c r="N67">
        <f t="shared" si="32"/>
        <v>62</v>
      </c>
      <c r="O67" s="1">
        <v>157</v>
      </c>
      <c r="P67" s="1">
        <v>204</v>
      </c>
      <c r="Q67" s="1">
        <v>136</v>
      </c>
      <c r="R67" s="1">
        <v>177</v>
      </c>
      <c r="S67" s="1">
        <v>26</v>
      </c>
      <c r="T67" s="1">
        <v>33</v>
      </c>
      <c r="U67" s="1">
        <v>47</v>
      </c>
      <c r="V67" s="1">
        <v>62</v>
      </c>
      <c r="W67" s="1">
        <v>55</v>
      </c>
      <c r="X67" s="1">
        <v>71</v>
      </c>
      <c r="Y67" s="1">
        <v>73</v>
      </c>
      <c r="Z67" s="1">
        <v>95</v>
      </c>
      <c r="AA67" s="1">
        <v>26</v>
      </c>
      <c r="AB67" s="1">
        <v>34</v>
      </c>
      <c r="AC67" s="1">
        <v>94</v>
      </c>
      <c r="AD67" s="1">
        <v>122</v>
      </c>
      <c r="AE67" s="1">
        <v>26</v>
      </c>
      <c r="AF67" s="1">
        <v>33</v>
      </c>
      <c r="AG67" s="1">
        <v>17</v>
      </c>
      <c r="AH67" s="1">
        <v>22</v>
      </c>
      <c r="AI67" s="1">
        <v>0</v>
      </c>
      <c r="AJ67">
        <v>40</v>
      </c>
    </row>
    <row r="68" spans="1:36" x14ac:dyDescent="0.15">
      <c r="A68">
        <v>41</v>
      </c>
      <c r="B68" s="1">
        <f t="shared" ref="B68:B69" si="111">O68</f>
        <v>157</v>
      </c>
      <c r="C68" s="1">
        <f t="shared" ref="C68:C69" si="112">P68</f>
        <v>204</v>
      </c>
      <c r="D68" s="1">
        <f t="shared" ref="D68:D69" si="113">Q68</f>
        <v>136</v>
      </c>
      <c r="E68" s="1">
        <f t="shared" ref="E68:E69" si="114">R68</f>
        <v>177</v>
      </c>
      <c r="F68" s="1">
        <f t="shared" ref="F68:F69" si="115">S68+Y68+AA68+AE68</f>
        <v>151</v>
      </c>
      <c r="G68" s="1">
        <f t="shared" ref="G68:G69" si="116">T68+Z68+AB68+AF68</f>
        <v>195</v>
      </c>
      <c r="H68">
        <f t="shared" ref="H68:H69" si="117">W68</f>
        <v>55</v>
      </c>
      <c r="I68">
        <f t="shared" ref="I68:I69" si="118">X68</f>
        <v>71</v>
      </c>
      <c r="J68">
        <f t="shared" ref="J68:J69" si="119">AC68</f>
        <v>94</v>
      </c>
      <c r="K68">
        <f t="shared" ref="K68:K69" si="120">AD68</f>
        <v>122</v>
      </c>
      <c r="L68">
        <f t="shared" ref="L68:L69" si="121">AG68</f>
        <v>17</v>
      </c>
      <c r="M68">
        <f t="shared" ref="M68:M69" si="122">AH68</f>
        <v>22</v>
      </c>
      <c r="N68">
        <f t="shared" ref="N68:N69" si="123">V68</f>
        <v>62</v>
      </c>
      <c r="O68" s="1">
        <v>157</v>
      </c>
      <c r="P68" s="1">
        <v>204</v>
      </c>
      <c r="Q68" s="1">
        <v>136</v>
      </c>
      <c r="R68" s="1">
        <v>177</v>
      </c>
      <c r="S68" s="1">
        <v>26</v>
      </c>
      <c r="T68" s="1">
        <v>33</v>
      </c>
      <c r="U68" s="1">
        <v>47</v>
      </c>
      <c r="V68" s="1">
        <v>62</v>
      </c>
      <c r="W68" s="1">
        <v>55</v>
      </c>
      <c r="X68" s="1">
        <v>71</v>
      </c>
      <c r="Y68" s="1">
        <v>73</v>
      </c>
      <c r="Z68" s="1">
        <v>95</v>
      </c>
      <c r="AA68" s="1">
        <v>26</v>
      </c>
      <c r="AB68" s="1">
        <v>34</v>
      </c>
      <c r="AC68" s="1">
        <v>94</v>
      </c>
      <c r="AD68" s="1">
        <v>122</v>
      </c>
      <c r="AE68" s="1">
        <v>26</v>
      </c>
      <c r="AF68" s="1">
        <v>33</v>
      </c>
      <c r="AG68" s="1">
        <v>17</v>
      </c>
      <c r="AH68" s="1">
        <v>22</v>
      </c>
      <c r="AI68" s="1">
        <v>0</v>
      </c>
      <c r="AJ68">
        <v>41</v>
      </c>
    </row>
    <row r="69" spans="1:36" x14ac:dyDescent="0.15">
      <c r="A69">
        <v>42</v>
      </c>
      <c r="B69" s="1">
        <f t="shared" si="111"/>
        <v>157</v>
      </c>
      <c r="C69" s="1">
        <f t="shared" si="112"/>
        <v>204</v>
      </c>
      <c r="D69" s="1">
        <f t="shared" si="113"/>
        <v>136</v>
      </c>
      <c r="E69" s="1">
        <f t="shared" si="114"/>
        <v>177</v>
      </c>
      <c r="F69" s="1">
        <f t="shared" si="115"/>
        <v>151</v>
      </c>
      <c r="G69" s="1">
        <f t="shared" si="116"/>
        <v>195</v>
      </c>
      <c r="H69">
        <f t="shared" si="117"/>
        <v>55</v>
      </c>
      <c r="I69">
        <f t="shared" si="118"/>
        <v>71</v>
      </c>
      <c r="J69">
        <f t="shared" si="119"/>
        <v>94</v>
      </c>
      <c r="K69">
        <f t="shared" si="120"/>
        <v>122</v>
      </c>
      <c r="L69">
        <f t="shared" si="121"/>
        <v>17</v>
      </c>
      <c r="M69">
        <f t="shared" si="122"/>
        <v>22</v>
      </c>
      <c r="N69">
        <f t="shared" si="123"/>
        <v>62</v>
      </c>
      <c r="O69" s="1">
        <v>157</v>
      </c>
      <c r="P69" s="1">
        <v>204</v>
      </c>
      <c r="Q69" s="1">
        <v>136</v>
      </c>
      <c r="R69" s="1">
        <v>177</v>
      </c>
      <c r="S69" s="1">
        <v>26</v>
      </c>
      <c r="T69" s="1">
        <v>33</v>
      </c>
      <c r="U69" s="1">
        <v>47</v>
      </c>
      <c r="V69" s="1">
        <v>62</v>
      </c>
      <c r="W69" s="1">
        <v>55</v>
      </c>
      <c r="X69" s="1">
        <v>71</v>
      </c>
      <c r="Y69" s="1">
        <v>73</v>
      </c>
      <c r="Z69" s="1">
        <v>95</v>
      </c>
      <c r="AA69" s="1">
        <v>26</v>
      </c>
      <c r="AB69" s="1">
        <v>34</v>
      </c>
      <c r="AC69" s="1">
        <v>94</v>
      </c>
      <c r="AD69" s="1">
        <v>122</v>
      </c>
      <c r="AE69" s="1">
        <v>26</v>
      </c>
      <c r="AF69" s="1">
        <v>33</v>
      </c>
      <c r="AG69" s="1">
        <v>17</v>
      </c>
      <c r="AH69" s="1">
        <v>22</v>
      </c>
      <c r="AI69" s="1">
        <v>0</v>
      </c>
      <c r="AJ69">
        <v>42</v>
      </c>
    </row>
    <row r="70" spans="1:36" x14ac:dyDescent="0.15">
      <c r="A70">
        <v>43</v>
      </c>
      <c r="B70" s="1">
        <f t="shared" ref="B70:B76" si="124">O70</f>
        <v>157</v>
      </c>
      <c r="C70" s="1">
        <f t="shared" ref="C70:C76" si="125">P70</f>
        <v>204</v>
      </c>
      <c r="D70" s="1">
        <f t="shared" ref="D70:D76" si="126">Q70</f>
        <v>136</v>
      </c>
      <c r="E70" s="1">
        <f t="shared" ref="E70:E76" si="127">R70</f>
        <v>177</v>
      </c>
      <c r="F70" s="1">
        <f t="shared" ref="F70:F76" si="128">S70+Y70+AA70+AE70</f>
        <v>151</v>
      </c>
      <c r="G70" s="1">
        <f t="shared" ref="G70:G76" si="129">T70+Z70+AB70+AF70</f>
        <v>195</v>
      </c>
      <c r="H70">
        <f t="shared" ref="H70:H76" si="130">W70</f>
        <v>55</v>
      </c>
      <c r="I70">
        <f t="shared" ref="I70:I76" si="131">X70</f>
        <v>71</v>
      </c>
      <c r="J70">
        <f t="shared" ref="J70:J76" si="132">AC70</f>
        <v>94</v>
      </c>
      <c r="K70">
        <f t="shared" ref="K70:K76" si="133">AD70</f>
        <v>122</v>
      </c>
      <c r="L70">
        <f t="shared" ref="L70:L76" si="134">AG70</f>
        <v>17</v>
      </c>
      <c r="M70">
        <f t="shared" ref="M70:M76" si="135">AH70</f>
        <v>22</v>
      </c>
      <c r="N70">
        <f t="shared" ref="N70:N76" si="136">V70</f>
        <v>62</v>
      </c>
      <c r="O70" s="1">
        <v>157</v>
      </c>
      <c r="P70" s="1">
        <v>204</v>
      </c>
      <c r="Q70" s="1">
        <v>136</v>
      </c>
      <c r="R70" s="1">
        <v>177</v>
      </c>
      <c r="S70" s="1">
        <v>26</v>
      </c>
      <c r="T70" s="1">
        <v>33</v>
      </c>
      <c r="U70" s="1">
        <v>47</v>
      </c>
      <c r="V70" s="1">
        <v>62</v>
      </c>
      <c r="W70" s="1">
        <v>55</v>
      </c>
      <c r="X70" s="1">
        <v>71</v>
      </c>
      <c r="Y70" s="1">
        <v>73</v>
      </c>
      <c r="Z70" s="1">
        <v>95</v>
      </c>
      <c r="AA70" s="1">
        <v>26</v>
      </c>
      <c r="AB70" s="1">
        <v>34</v>
      </c>
      <c r="AC70" s="1">
        <v>94</v>
      </c>
      <c r="AD70" s="1">
        <v>122</v>
      </c>
      <c r="AE70" s="1">
        <v>26</v>
      </c>
      <c r="AF70" s="1">
        <v>33</v>
      </c>
      <c r="AG70" s="1">
        <v>17</v>
      </c>
      <c r="AH70" s="1">
        <v>22</v>
      </c>
      <c r="AI70" s="1">
        <v>0</v>
      </c>
      <c r="AJ70">
        <v>43</v>
      </c>
    </row>
    <row r="71" spans="1:36" x14ac:dyDescent="0.15">
      <c r="A71">
        <v>44</v>
      </c>
      <c r="B71" s="1">
        <f t="shared" si="124"/>
        <v>157</v>
      </c>
      <c r="C71" s="1">
        <f t="shared" si="125"/>
        <v>204</v>
      </c>
      <c r="D71" s="1">
        <f t="shared" si="126"/>
        <v>136</v>
      </c>
      <c r="E71" s="1">
        <f t="shared" si="127"/>
        <v>177</v>
      </c>
      <c r="F71" s="1">
        <f t="shared" si="128"/>
        <v>151</v>
      </c>
      <c r="G71" s="1">
        <f t="shared" si="129"/>
        <v>195</v>
      </c>
      <c r="H71">
        <f t="shared" si="130"/>
        <v>55</v>
      </c>
      <c r="I71">
        <f t="shared" si="131"/>
        <v>71</v>
      </c>
      <c r="J71">
        <f t="shared" si="132"/>
        <v>94</v>
      </c>
      <c r="K71">
        <f t="shared" si="133"/>
        <v>122</v>
      </c>
      <c r="L71">
        <f t="shared" si="134"/>
        <v>17</v>
      </c>
      <c r="M71">
        <f t="shared" si="135"/>
        <v>22</v>
      </c>
      <c r="N71">
        <f t="shared" si="136"/>
        <v>62</v>
      </c>
      <c r="O71" s="1">
        <v>157</v>
      </c>
      <c r="P71" s="1">
        <v>204</v>
      </c>
      <c r="Q71" s="1">
        <v>136</v>
      </c>
      <c r="R71" s="1">
        <v>177</v>
      </c>
      <c r="S71" s="1">
        <v>26</v>
      </c>
      <c r="T71" s="1">
        <v>33</v>
      </c>
      <c r="U71" s="1">
        <v>47</v>
      </c>
      <c r="V71" s="1">
        <v>62</v>
      </c>
      <c r="W71" s="1">
        <v>55</v>
      </c>
      <c r="X71" s="1">
        <v>71</v>
      </c>
      <c r="Y71" s="1">
        <v>73</v>
      </c>
      <c r="Z71" s="1">
        <v>95</v>
      </c>
      <c r="AA71" s="1">
        <v>26</v>
      </c>
      <c r="AB71" s="1">
        <v>34</v>
      </c>
      <c r="AC71" s="1">
        <v>94</v>
      </c>
      <c r="AD71" s="1">
        <v>122</v>
      </c>
      <c r="AE71" s="1">
        <v>26</v>
      </c>
      <c r="AF71" s="1">
        <v>33</v>
      </c>
      <c r="AG71" s="1">
        <v>17</v>
      </c>
      <c r="AH71" s="1">
        <v>22</v>
      </c>
      <c r="AI71" s="1">
        <v>0</v>
      </c>
      <c r="AJ71">
        <v>44</v>
      </c>
    </row>
    <row r="72" spans="1:36" x14ac:dyDescent="0.15">
      <c r="A72">
        <v>45</v>
      </c>
      <c r="B72" s="1">
        <f t="shared" si="124"/>
        <v>157</v>
      </c>
      <c r="C72" s="1">
        <f t="shared" si="125"/>
        <v>204</v>
      </c>
      <c r="D72" s="1">
        <f t="shared" si="126"/>
        <v>136</v>
      </c>
      <c r="E72" s="1">
        <f t="shared" si="127"/>
        <v>177</v>
      </c>
      <c r="F72" s="1">
        <f t="shared" si="128"/>
        <v>151</v>
      </c>
      <c r="G72" s="1">
        <f t="shared" si="129"/>
        <v>195</v>
      </c>
      <c r="H72">
        <f t="shared" si="130"/>
        <v>55</v>
      </c>
      <c r="I72">
        <f t="shared" si="131"/>
        <v>71</v>
      </c>
      <c r="J72">
        <f t="shared" si="132"/>
        <v>94</v>
      </c>
      <c r="K72">
        <f t="shared" si="133"/>
        <v>122</v>
      </c>
      <c r="L72">
        <f t="shared" si="134"/>
        <v>17</v>
      </c>
      <c r="M72">
        <f t="shared" si="135"/>
        <v>22</v>
      </c>
      <c r="N72">
        <f t="shared" si="136"/>
        <v>62</v>
      </c>
      <c r="O72" s="1">
        <v>157</v>
      </c>
      <c r="P72" s="1">
        <v>204</v>
      </c>
      <c r="Q72" s="1">
        <v>136</v>
      </c>
      <c r="R72" s="1">
        <v>177</v>
      </c>
      <c r="S72" s="1">
        <v>26</v>
      </c>
      <c r="T72" s="1">
        <v>33</v>
      </c>
      <c r="U72" s="1">
        <v>47</v>
      </c>
      <c r="V72" s="1">
        <v>62</v>
      </c>
      <c r="W72" s="1">
        <v>55</v>
      </c>
      <c r="X72" s="1">
        <v>71</v>
      </c>
      <c r="Y72" s="1">
        <v>73</v>
      </c>
      <c r="Z72" s="1">
        <v>95</v>
      </c>
      <c r="AA72" s="1">
        <v>26</v>
      </c>
      <c r="AB72" s="1">
        <v>34</v>
      </c>
      <c r="AC72" s="1">
        <v>94</v>
      </c>
      <c r="AD72" s="1">
        <v>122</v>
      </c>
      <c r="AE72" s="1">
        <v>26</v>
      </c>
      <c r="AF72" s="1">
        <v>33</v>
      </c>
      <c r="AG72" s="1">
        <v>17</v>
      </c>
      <c r="AH72" s="1">
        <v>22</v>
      </c>
      <c r="AI72" s="1">
        <v>0</v>
      </c>
      <c r="AJ72">
        <v>45</v>
      </c>
    </row>
    <row r="73" spans="1:36" x14ac:dyDescent="0.15">
      <c r="A73">
        <v>46</v>
      </c>
      <c r="B73" s="1">
        <f t="shared" si="124"/>
        <v>157</v>
      </c>
      <c r="C73" s="1">
        <f t="shared" si="125"/>
        <v>204</v>
      </c>
      <c r="D73" s="1">
        <f t="shared" si="126"/>
        <v>136</v>
      </c>
      <c r="E73" s="1">
        <f t="shared" si="127"/>
        <v>177</v>
      </c>
      <c r="F73" s="1">
        <f t="shared" si="128"/>
        <v>151</v>
      </c>
      <c r="G73" s="1">
        <f t="shared" si="129"/>
        <v>195</v>
      </c>
      <c r="H73">
        <f t="shared" si="130"/>
        <v>55</v>
      </c>
      <c r="I73">
        <f t="shared" si="131"/>
        <v>71</v>
      </c>
      <c r="J73">
        <f t="shared" si="132"/>
        <v>94</v>
      </c>
      <c r="K73">
        <f t="shared" si="133"/>
        <v>122</v>
      </c>
      <c r="L73">
        <f t="shared" si="134"/>
        <v>17</v>
      </c>
      <c r="M73">
        <f t="shared" si="135"/>
        <v>22</v>
      </c>
      <c r="N73">
        <f t="shared" si="136"/>
        <v>62</v>
      </c>
      <c r="O73" s="1">
        <v>157</v>
      </c>
      <c r="P73" s="1">
        <v>204</v>
      </c>
      <c r="Q73" s="1">
        <v>136</v>
      </c>
      <c r="R73" s="1">
        <v>177</v>
      </c>
      <c r="S73" s="1">
        <v>26</v>
      </c>
      <c r="T73" s="1">
        <v>33</v>
      </c>
      <c r="U73" s="1">
        <v>47</v>
      </c>
      <c r="V73" s="1">
        <v>62</v>
      </c>
      <c r="W73" s="1">
        <v>55</v>
      </c>
      <c r="X73" s="1">
        <v>71</v>
      </c>
      <c r="Y73" s="1">
        <v>73</v>
      </c>
      <c r="Z73" s="1">
        <v>95</v>
      </c>
      <c r="AA73" s="1">
        <v>26</v>
      </c>
      <c r="AB73" s="1">
        <v>34</v>
      </c>
      <c r="AC73" s="1">
        <v>94</v>
      </c>
      <c r="AD73" s="1">
        <v>122</v>
      </c>
      <c r="AE73" s="1">
        <v>26</v>
      </c>
      <c r="AF73" s="1">
        <v>33</v>
      </c>
      <c r="AG73" s="1">
        <v>17</v>
      </c>
      <c r="AH73" s="1">
        <v>22</v>
      </c>
      <c r="AI73" s="1">
        <v>0</v>
      </c>
      <c r="AJ73">
        <v>46</v>
      </c>
    </row>
    <row r="74" spans="1:36" x14ac:dyDescent="0.15">
      <c r="A74">
        <v>47</v>
      </c>
      <c r="B74" s="1">
        <f t="shared" si="124"/>
        <v>157</v>
      </c>
      <c r="C74" s="1">
        <f t="shared" si="125"/>
        <v>204</v>
      </c>
      <c r="D74" s="1">
        <f t="shared" si="126"/>
        <v>136</v>
      </c>
      <c r="E74" s="1">
        <f t="shared" si="127"/>
        <v>177</v>
      </c>
      <c r="F74" s="1">
        <f t="shared" si="128"/>
        <v>151</v>
      </c>
      <c r="G74" s="1">
        <f t="shared" si="129"/>
        <v>195</v>
      </c>
      <c r="H74">
        <f t="shared" si="130"/>
        <v>55</v>
      </c>
      <c r="I74">
        <f t="shared" si="131"/>
        <v>71</v>
      </c>
      <c r="J74">
        <f t="shared" si="132"/>
        <v>94</v>
      </c>
      <c r="K74">
        <f t="shared" si="133"/>
        <v>122</v>
      </c>
      <c r="L74">
        <f t="shared" si="134"/>
        <v>17</v>
      </c>
      <c r="M74">
        <f t="shared" si="135"/>
        <v>22</v>
      </c>
      <c r="N74">
        <f t="shared" si="136"/>
        <v>62</v>
      </c>
      <c r="O74" s="1">
        <v>157</v>
      </c>
      <c r="P74" s="1">
        <v>204</v>
      </c>
      <c r="Q74" s="1">
        <v>136</v>
      </c>
      <c r="R74" s="1">
        <v>177</v>
      </c>
      <c r="S74" s="1">
        <v>26</v>
      </c>
      <c r="T74" s="1">
        <v>33</v>
      </c>
      <c r="U74" s="1">
        <v>47</v>
      </c>
      <c r="V74" s="1">
        <v>62</v>
      </c>
      <c r="W74" s="1">
        <v>55</v>
      </c>
      <c r="X74" s="1">
        <v>71</v>
      </c>
      <c r="Y74" s="1">
        <v>73</v>
      </c>
      <c r="Z74" s="1">
        <v>95</v>
      </c>
      <c r="AA74" s="1">
        <v>26</v>
      </c>
      <c r="AB74" s="1">
        <v>34</v>
      </c>
      <c r="AC74" s="1">
        <v>94</v>
      </c>
      <c r="AD74" s="1">
        <v>122</v>
      </c>
      <c r="AE74" s="1">
        <v>26</v>
      </c>
      <c r="AF74" s="1">
        <v>33</v>
      </c>
      <c r="AG74" s="1">
        <v>17</v>
      </c>
      <c r="AH74" s="1">
        <v>22</v>
      </c>
      <c r="AI74" s="1">
        <v>0</v>
      </c>
      <c r="AJ74">
        <v>47</v>
      </c>
    </row>
    <row r="75" spans="1:36" x14ac:dyDescent="0.15">
      <c r="A75">
        <v>48</v>
      </c>
      <c r="B75" s="1">
        <f t="shared" si="124"/>
        <v>157</v>
      </c>
      <c r="C75" s="1">
        <f t="shared" si="125"/>
        <v>204</v>
      </c>
      <c r="D75" s="1">
        <f t="shared" si="126"/>
        <v>136</v>
      </c>
      <c r="E75" s="1">
        <f t="shared" si="127"/>
        <v>177</v>
      </c>
      <c r="F75" s="1">
        <f t="shared" si="128"/>
        <v>151</v>
      </c>
      <c r="G75" s="1">
        <f t="shared" si="129"/>
        <v>195</v>
      </c>
      <c r="H75">
        <f t="shared" si="130"/>
        <v>55</v>
      </c>
      <c r="I75">
        <f t="shared" si="131"/>
        <v>71</v>
      </c>
      <c r="J75">
        <f t="shared" si="132"/>
        <v>94</v>
      </c>
      <c r="K75">
        <f t="shared" si="133"/>
        <v>122</v>
      </c>
      <c r="L75">
        <f t="shared" si="134"/>
        <v>17</v>
      </c>
      <c r="M75">
        <f t="shared" si="135"/>
        <v>22</v>
      </c>
      <c r="N75">
        <f t="shared" si="136"/>
        <v>62</v>
      </c>
      <c r="O75" s="1">
        <v>157</v>
      </c>
      <c r="P75" s="1">
        <v>204</v>
      </c>
      <c r="Q75" s="1">
        <v>136</v>
      </c>
      <c r="R75" s="1">
        <v>177</v>
      </c>
      <c r="S75" s="1">
        <v>26</v>
      </c>
      <c r="T75" s="1">
        <v>33</v>
      </c>
      <c r="U75" s="1">
        <v>47</v>
      </c>
      <c r="V75" s="1">
        <v>62</v>
      </c>
      <c r="W75" s="1">
        <v>55</v>
      </c>
      <c r="X75" s="1">
        <v>71</v>
      </c>
      <c r="Y75" s="1">
        <v>73</v>
      </c>
      <c r="Z75" s="1">
        <v>95</v>
      </c>
      <c r="AA75" s="1">
        <v>26</v>
      </c>
      <c r="AB75" s="1">
        <v>34</v>
      </c>
      <c r="AC75" s="1">
        <v>94</v>
      </c>
      <c r="AD75" s="1">
        <v>122</v>
      </c>
      <c r="AE75" s="1">
        <v>26</v>
      </c>
      <c r="AF75" s="1">
        <v>33</v>
      </c>
      <c r="AG75" s="1">
        <v>17</v>
      </c>
      <c r="AH75" s="1">
        <v>22</v>
      </c>
      <c r="AI75" s="1">
        <v>0</v>
      </c>
      <c r="AJ75">
        <v>48</v>
      </c>
    </row>
    <row r="76" spans="1:36" x14ac:dyDescent="0.15">
      <c r="A76">
        <v>49</v>
      </c>
      <c r="B76" s="1">
        <f t="shared" si="124"/>
        <v>157</v>
      </c>
      <c r="C76" s="1">
        <f t="shared" si="125"/>
        <v>204</v>
      </c>
      <c r="D76" s="1">
        <f t="shared" si="126"/>
        <v>136</v>
      </c>
      <c r="E76" s="1">
        <f t="shared" si="127"/>
        <v>177</v>
      </c>
      <c r="F76" s="1">
        <f t="shared" si="128"/>
        <v>151</v>
      </c>
      <c r="G76" s="1">
        <f t="shared" si="129"/>
        <v>195</v>
      </c>
      <c r="H76">
        <f t="shared" si="130"/>
        <v>55</v>
      </c>
      <c r="I76">
        <f t="shared" si="131"/>
        <v>71</v>
      </c>
      <c r="J76">
        <f t="shared" si="132"/>
        <v>94</v>
      </c>
      <c r="K76">
        <f t="shared" si="133"/>
        <v>122</v>
      </c>
      <c r="L76">
        <f t="shared" si="134"/>
        <v>17</v>
      </c>
      <c r="M76">
        <f t="shared" si="135"/>
        <v>22</v>
      </c>
      <c r="N76">
        <f t="shared" si="136"/>
        <v>62</v>
      </c>
      <c r="O76" s="1">
        <v>157</v>
      </c>
      <c r="P76" s="1">
        <v>204</v>
      </c>
      <c r="Q76" s="1">
        <v>136</v>
      </c>
      <c r="R76" s="1">
        <v>177</v>
      </c>
      <c r="S76" s="1">
        <v>26</v>
      </c>
      <c r="T76" s="1">
        <v>33</v>
      </c>
      <c r="U76" s="1">
        <v>47</v>
      </c>
      <c r="V76" s="1">
        <v>62</v>
      </c>
      <c r="W76" s="1">
        <v>55</v>
      </c>
      <c r="X76" s="1">
        <v>71</v>
      </c>
      <c r="Y76" s="1">
        <v>73</v>
      </c>
      <c r="Z76" s="1">
        <v>95</v>
      </c>
      <c r="AA76" s="1">
        <v>26</v>
      </c>
      <c r="AB76" s="1">
        <v>34</v>
      </c>
      <c r="AC76" s="1">
        <v>94</v>
      </c>
      <c r="AD76" s="1">
        <v>122</v>
      </c>
      <c r="AE76" s="1">
        <v>26</v>
      </c>
      <c r="AF76" s="1">
        <v>33</v>
      </c>
      <c r="AG76" s="1">
        <v>17</v>
      </c>
      <c r="AH76" s="1">
        <v>22</v>
      </c>
      <c r="AI76" s="1">
        <v>0</v>
      </c>
      <c r="AJ76">
        <v>49</v>
      </c>
    </row>
    <row r="77" spans="1:36" x14ac:dyDescent="0.15">
      <c r="A77">
        <v>50</v>
      </c>
      <c r="B77" s="1">
        <f t="shared" si="20"/>
        <v>194</v>
      </c>
      <c r="C77" s="1">
        <f t="shared" si="21"/>
        <v>252</v>
      </c>
      <c r="D77" s="1">
        <f t="shared" si="22"/>
        <v>168</v>
      </c>
      <c r="E77" s="1">
        <f t="shared" si="23"/>
        <v>218</v>
      </c>
      <c r="F77" s="1">
        <f t="shared" si="24"/>
        <v>182</v>
      </c>
      <c r="G77" s="1">
        <f t="shared" si="25"/>
        <v>235</v>
      </c>
      <c r="H77">
        <f t="shared" si="26"/>
        <v>68</v>
      </c>
      <c r="I77">
        <f t="shared" si="27"/>
        <v>88</v>
      </c>
      <c r="J77">
        <f t="shared" si="28"/>
        <v>115</v>
      </c>
      <c r="K77">
        <f t="shared" si="29"/>
        <v>150</v>
      </c>
      <c r="L77">
        <f t="shared" si="30"/>
        <v>21</v>
      </c>
      <c r="M77">
        <f t="shared" si="31"/>
        <v>27</v>
      </c>
      <c r="N77">
        <f t="shared" si="32"/>
        <v>75</v>
      </c>
      <c r="O77" s="1">
        <v>194</v>
      </c>
      <c r="P77" s="1">
        <v>252</v>
      </c>
      <c r="Q77" s="1">
        <v>168</v>
      </c>
      <c r="R77" s="1">
        <v>218</v>
      </c>
      <c r="S77" s="1">
        <v>31</v>
      </c>
      <c r="T77" s="1">
        <v>40</v>
      </c>
      <c r="U77" s="1">
        <v>57</v>
      </c>
      <c r="V77" s="1">
        <v>75</v>
      </c>
      <c r="W77" s="1">
        <v>68</v>
      </c>
      <c r="X77" s="1">
        <v>88</v>
      </c>
      <c r="Y77" s="1">
        <v>89</v>
      </c>
      <c r="Z77" s="1">
        <v>115</v>
      </c>
      <c r="AA77" s="1">
        <v>31</v>
      </c>
      <c r="AB77" s="1">
        <v>40</v>
      </c>
      <c r="AC77" s="1">
        <v>115</v>
      </c>
      <c r="AD77" s="1">
        <v>150</v>
      </c>
      <c r="AE77" s="1">
        <v>31</v>
      </c>
      <c r="AF77" s="1">
        <v>40</v>
      </c>
      <c r="AG77" s="1">
        <v>21</v>
      </c>
      <c r="AH77" s="1">
        <v>27</v>
      </c>
      <c r="AI77" s="1">
        <v>6</v>
      </c>
      <c r="AJ77">
        <v>50</v>
      </c>
    </row>
    <row r="78" spans="1:36" x14ac:dyDescent="0.15">
      <c r="A78">
        <v>51</v>
      </c>
      <c r="B78" s="1">
        <f t="shared" ref="B78:B79" si="137">O78</f>
        <v>194</v>
      </c>
      <c r="C78" s="1">
        <f t="shared" ref="C78:C79" si="138">P78</f>
        <v>252</v>
      </c>
      <c r="D78" s="1">
        <f t="shared" ref="D78:D79" si="139">Q78</f>
        <v>168</v>
      </c>
      <c r="E78" s="1">
        <f t="shared" ref="E78:E79" si="140">R78</f>
        <v>218</v>
      </c>
      <c r="F78" s="1">
        <f t="shared" ref="F78:F79" si="141">S78+Y78+AA78+AE78</f>
        <v>182</v>
      </c>
      <c r="G78" s="1">
        <f t="shared" ref="G78:G79" si="142">T78+Z78+AB78+AF78</f>
        <v>235</v>
      </c>
      <c r="H78">
        <f t="shared" ref="H78:H79" si="143">W78</f>
        <v>68</v>
      </c>
      <c r="I78">
        <f t="shared" ref="I78:I79" si="144">X78</f>
        <v>88</v>
      </c>
      <c r="J78">
        <f t="shared" ref="J78:J79" si="145">AC78</f>
        <v>115</v>
      </c>
      <c r="K78">
        <f t="shared" ref="K78:K79" si="146">AD78</f>
        <v>150</v>
      </c>
      <c r="L78">
        <f t="shared" ref="L78:L79" si="147">AG78</f>
        <v>21</v>
      </c>
      <c r="M78">
        <f t="shared" ref="M78:M79" si="148">AH78</f>
        <v>27</v>
      </c>
      <c r="N78">
        <f t="shared" ref="N78:N79" si="149">V78</f>
        <v>75</v>
      </c>
      <c r="O78" s="1">
        <v>194</v>
      </c>
      <c r="P78" s="1">
        <v>252</v>
      </c>
      <c r="Q78" s="1">
        <v>168</v>
      </c>
      <c r="R78" s="1">
        <v>218</v>
      </c>
      <c r="S78" s="1">
        <v>31</v>
      </c>
      <c r="T78" s="1">
        <v>40</v>
      </c>
      <c r="U78" s="1">
        <v>57</v>
      </c>
      <c r="V78" s="1">
        <v>75</v>
      </c>
      <c r="W78" s="1">
        <v>68</v>
      </c>
      <c r="X78" s="1">
        <v>88</v>
      </c>
      <c r="Y78" s="1">
        <v>89</v>
      </c>
      <c r="Z78" s="1">
        <v>115</v>
      </c>
      <c r="AA78" s="1">
        <v>31</v>
      </c>
      <c r="AB78" s="1">
        <v>40</v>
      </c>
      <c r="AC78" s="1">
        <v>115</v>
      </c>
      <c r="AD78" s="1">
        <v>150</v>
      </c>
      <c r="AE78" s="1">
        <v>31</v>
      </c>
      <c r="AF78" s="1">
        <v>40</v>
      </c>
      <c r="AG78" s="1">
        <v>21</v>
      </c>
      <c r="AH78" s="1">
        <v>27</v>
      </c>
      <c r="AI78" s="1">
        <v>6</v>
      </c>
      <c r="AJ78">
        <v>51</v>
      </c>
    </row>
    <row r="79" spans="1:36" x14ac:dyDescent="0.15">
      <c r="A79">
        <v>52</v>
      </c>
      <c r="B79" s="1">
        <f t="shared" si="137"/>
        <v>194</v>
      </c>
      <c r="C79" s="1">
        <f t="shared" si="138"/>
        <v>252</v>
      </c>
      <c r="D79" s="1">
        <f t="shared" si="139"/>
        <v>168</v>
      </c>
      <c r="E79" s="1">
        <f t="shared" si="140"/>
        <v>218</v>
      </c>
      <c r="F79" s="1">
        <f t="shared" si="141"/>
        <v>182</v>
      </c>
      <c r="G79" s="1">
        <f t="shared" si="142"/>
        <v>235</v>
      </c>
      <c r="H79">
        <f t="shared" si="143"/>
        <v>68</v>
      </c>
      <c r="I79">
        <f t="shared" si="144"/>
        <v>88</v>
      </c>
      <c r="J79">
        <f t="shared" si="145"/>
        <v>115</v>
      </c>
      <c r="K79">
        <f t="shared" si="146"/>
        <v>150</v>
      </c>
      <c r="L79">
        <f t="shared" si="147"/>
        <v>21</v>
      </c>
      <c r="M79">
        <f t="shared" si="148"/>
        <v>27</v>
      </c>
      <c r="N79">
        <f t="shared" si="149"/>
        <v>75</v>
      </c>
      <c r="O79" s="1">
        <v>194</v>
      </c>
      <c r="P79" s="1">
        <v>252</v>
      </c>
      <c r="Q79" s="1">
        <v>168</v>
      </c>
      <c r="R79" s="1">
        <v>218</v>
      </c>
      <c r="S79" s="1">
        <v>31</v>
      </c>
      <c r="T79" s="1">
        <v>40</v>
      </c>
      <c r="U79" s="1">
        <v>57</v>
      </c>
      <c r="V79" s="1">
        <v>75</v>
      </c>
      <c r="W79" s="1">
        <v>68</v>
      </c>
      <c r="X79" s="1">
        <v>88</v>
      </c>
      <c r="Y79" s="1">
        <v>89</v>
      </c>
      <c r="Z79" s="1">
        <v>115</v>
      </c>
      <c r="AA79" s="1">
        <v>31</v>
      </c>
      <c r="AB79" s="1">
        <v>40</v>
      </c>
      <c r="AC79" s="1">
        <v>115</v>
      </c>
      <c r="AD79" s="1">
        <v>150</v>
      </c>
      <c r="AE79" s="1">
        <v>31</v>
      </c>
      <c r="AF79" s="1">
        <v>40</v>
      </c>
      <c r="AG79" s="1">
        <v>21</v>
      </c>
      <c r="AH79" s="1">
        <v>27</v>
      </c>
      <c r="AI79" s="1">
        <v>6</v>
      </c>
      <c r="AJ79">
        <v>52</v>
      </c>
    </row>
    <row r="80" spans="1:36" x14ac:dyDescent="0.15">
      <c r="A80">
        <v>53</v>
      </c>
      <c r="B80" s="1">
        <f t="shared" ref="B80:B86" si="150">O80</f>
        <v>194</v>
      </c>
      <c r="C80" s="1">
        <f t="shared" ref="C80:C86" si="151">P80</f>
        <v>252</v>
      </c>
      <c r="D80" s="1">
        <f t="shared" ref="D80:D86" si="152">Q80</f>
        <v>168</v>
      </c>
      <c r="E80" s="1">
        <f t="shared" ref="E80:E86" si="153">R80</f>
        <v>218</v>
      </c>
      <c r="F80" s="1">
        <f t="shared" ref="F80:F86" si="154">S80+Y80+AA80+AE80</f>
        <v>182</v>
      </c>
      <c r="G80" s="1">
        <f t="shared" ref="G80:G86" si="155">T80+Z80+AB80+AF80</f>
        <v>235</v>
      </c>
      <c r="H80">
        <f t="shared" ref="H80:H86" si="156">W80</f>
        <v>68</v>
      </c>
      <c r="I80">
        <f t="shared" ref="I80:I86" si="157">X80</f>
        <v>88</v>
      </c>
      <c r="J80">
        <f t="shared" ref="J80:J86" si="158">AC80</f>
        <v>115</v>
      </c>
      <c r="K80">
        <f t="shared" ref="K80:K86" si="159">AD80</f>
        <v>150</v>
      </c>
      <c r="L80">
        <f t="shared" ref="L80:L86" si="160">AG80</f>
        <v>21</v>
      </c>
      <c r="M80">
        <f t="shared" ref="M80:M86" si="161">AH80</f>
        <v>27</v>
      </c>
      <c r="N80">
        <f t="shared" ref="N80:N86" si="162">V80</f>
        <v>75</v>
      </c>
      <c r="O80" s="1">
        <v>194</v>
      </c>
      <c r="P80" s="1">
        <v>252</v>
      </c>
      <c r="Q80" s="1">
        <v>168</v>
      </c>
      <c r="R80" s="1">
        <v>218</v>
      </c>
      <c r="S80" s="1">
        <v>31</v>
      </c>
      <c r="T80" s="1">
        <v>40</v>
      </c>
      <c r="U80" s="1">
        <v>57</v>
      </c>
      <c r="V80" s="1">
        <v>75</v>
      </c>
      <c r="W80" s="1">
        <v>68</v>
      </c>
      <c r="X80" s="1">
        <v>88</v>
      </c>
      <c r="Y80" s="1">
        <v>89</v>
      </c>
      <c r="Z80" s="1">
        <v>115</v>
      </c>
      <c r="AA80" s="1">
        <v>31</v>
      </c>
      <c r="AB80" s="1">
        <v>40</v>
      </c>
      <c r="AC80" s="1">
        <v>115</v>
      </c>
      <c r="AD80" s="1">
        <v>150</v>
      </c>
      <c r="AE80" s="1">
        <v>31</v>
      </c>
      <c r="AF80" s="1">
        <v>40</v>
      </c>
      <c r="AG80" s="1">
        <v>21</v>
      </c>
      <c r="AH80" s="1">
        <v>27</v>
      </c>
      <c r="AI80" s="1">
        <v>6</v>
      </c>
      <c r="AJ80">
        <v>53</v>
      </c>
    </row>
    <row r="81" spans="1:36" x14ac:dyDescent="0.15">
      <c r="A81">
        <v>54</v>
      </c>
      <c r="B81" s="1">
        <f t="shared" si="150"/>
        <v>194</v>
      </c>
      <c r="C81" s="1">
        <f t="shared" si="151"/>
        <v>252</v>
      </c>
      <c r="D81" s="1">
        <f t="shared" si="152"/>
        <v>168</v>
      </c>
      <c r="E81" s="1">
        <f t="shared" si="153"/>
        <v>218</v>
      </c>
      <c r="F81" s="1">
        <f t="shared" si="154"/>
        <v>182</v>
      </c>
      <c r="G81" s="1">
        <f t="shared" si="155"/>
        <v>235</v>
      </c>
      <c r="H81">
        <f t="shared" si="156"/>
        <v>68</v>
      </c>
      <c r="I81">
        <f t="shared" si="157"/>
        <v>88</v>
      </c>
      <c r="J81">
        <f t="shared" si="158"/>
        <v>115</v>
      </c>
      <c r="K81">
        <f t="shared" si="159"/>
        <v>150</v>
      </c>
      <c r="L81">
        <f t="shared" si="160"/>
        <v>21</v>
      </c>
      <c r="M81">
        <f t="shared" si="161"/>
        <v>27</v>
      </c>
      <c r="N81">
        <f t="shared" si="162"/>
        <v>75</v>
      </c>
      <c r="O81" s="1">
        <v>194</v>
      </c>
      <c r="P81" s="1">
        <v>252</v>
      </c>
      <c r="Q81" s="1">
        <v>168</v>
      </c>
      <c r="R81" s="1">
        <v>218</v>
      </c>
      <c r="S81" s="1">
        <v>31</v>
      </c>
      <c r="T81" s="1">
        <v>40</v>
      </c>
      <c r="U81" s="1">
        <v>57</v>
      </c>
      <c r="V81" s="1">
        <v>75</v>
      </c>
      <c r="W81" s="1">
        <v>68</v>
      </c>
      <c r="X81" s="1">
        <v>88</v>
      </c>
      <c r="Y81" s="1">
        <v>89</v>
      </c>
      <c r="Z81" s="1">
        <v>115</v>
      </c>
      <c r="AA81" s="1">
        <v>31</v>
      </c>
      <c r="AB81" s="1">
        <v>40</v>
      </c>
      <c r="AC81" s="1">
        <v>115</v>
      </c>
      <c r="AD81" s="1">
        <v>150</v>
      </c>
      <c r="AE81" s="1">
        <v>31</v>
      </c>
      <c r="AF81" s="1">
        <v>40</v>
      </c>
      <c r="AG81" s="1">
        <v>21</v>
      </c>
      <c r="AH81" s="1">
        <v>27</v>
      </c>
      <c r="AI81" s="1">
        <v>6</v>
      </c>
      <c r="AJ81">
        <v>54</v>
      </c>
    </row>
    <row r="82" spans="1:36" x14ac:dyDescent="0.15">
      <c r="A82">
        <v>55</v>
      </c>
      <c r="B82" s="1">
        <f t="shared" si="150"/>
        <v>194</v>
      </c>
      <c r="C82" s="1">
        <f t="shared" si="151"/>
        <v>252</v>
      </c>
      <c r="D82" s="1">
        <f t="shared" si="152"/>
        <v>168</v>
      </c>
      <c r="E82" s="1">
        <f t="shared" si="153"/>
        <v>218</v>
      </c>
      <c r="F82" s="1">
        <f t="shared" si="154"/>
        <v>182</v>
      </c>
      <c r="G82" s="1">
        <f t="shared" si="155"/>
        <v>235</v>
      </c>
      <c r="H82">
        <f t="shared" si="156"/>
        <v>68</v>
      </c>
      <c r="I82">
        <f t="shared" si="157"/>
        <v>88</v>
      </c>
      <c r="J82">
        <f t="shared" si="158"/>
        <v>115</v>
      </c>
      <c r="K82">
        <f t="shared" si="159"/>
        <v>150</v>
      </c>
      <c r="L82">
        <f t="shared" si="160"/>
        <v>21</v>
      </c>
      <c r="M82">
        <f t="shared" si="161"/>
        <v>27</v>
      </c>
      <c r="N82">
        <f t="shared" si="162"/>
        <v>75</v>
      </c>
      <c r="O82" s="1">
        <v>194</v>
      </c>
      <c r="P82" s="1">
        <v>252</v>
      </c>
      <c r="Q82" s="1">
        <v>168</v>
      </c>
      <c r="R82" s="1">
        <v>218</v>
      </c>
      <c r="S82" s="1">
        <v>31</v>
      </c>
      <c r="T82" s="1">
        <v>40</v>
      </c>
      <c r="U82" s="1">
        <v>57</v>
      </c>
      <c r="V82" s="1">
        <v>75</v>
      </c>
      <c r="W82" s="1">
        <v>68</v>
      </c>
      <c r="X82" s="1">
        <v>88</v>
      </c>
      <c r="Y82" s="1">
        <v>89</v>
      </c>
      <c r="Z82" s="1">
        <v>115</v>
      </c>
      <c r="AA82" s="1">
        <v>31</v>
      </c>
      <c r="AB82" s="1">
        <v>40</v>
      </c>
      <c r="AC82" s="1">
        <v>115</v>
      </c>
      <c r="AD82" s="1">
        <v>150</v>
      </c>
      <c r="AE82" s="1">
        <v>31</v>
      </c>
      <c r="AF82" s="1">
        <v>40</v>
      </c>
      <c r="AG82" s="1">
        <v>21</v>
      </c>
      <c r="AH82" s="1">
        <v>27</v>
      </c>
      <c r="AI82" s="1">
        <v>7</v>
      </c>
      <c r="AJ82">
        <v>55</v>
      </c>
    </row>
    <row r="83" spans="1:36" x14ac:dyDescent="0.15">
      <c r="A83">
        <v>56</v>
      </c>
      <c r="B83" s="1">
        <f t="shared" si="150"/>
        <v>194</v>
      </c>
      <c r="C83" s="1">
        <f t="shared" si="151"/>
        <v>252</v>
      </c>
      <c r="D83" s="1">
        <f t="shared" si="152"/>
        <v>168</v>
      </c>
      <c r="E83" s="1">
        <f t="shared" si="153"/>
        <v>218</v>
      </c>
      <c r="F83" s="1">
        <f t="shared" si="154"/>
        <v>182</v>
      </c>
      <c r="G83" s="1">
        <f t="shared" si="155"/>
        <v>235</v>
      </c>
      <c r="H83">
        <f t="shared" si="156"/>
        <v>68</v>
      </c>
      <c r="I83">
        <f t="shared" si="157"/>
        <v>88</v>
      </c>
      <c r="J83">
        <f t="shared" si="158"/>
        <v>115</v>
      </c>
      <c r="K83">
        <f t="shared" si="159"/>
        <v>150</v>
      </c>
      <c r="L83">
        <f t="shared" si="160"/>
        <v>21</v>
      </c>
      <c r="M83">
        <f t="shared" si="161"/>
        <v>27</v>
      </c>
      <c r="N83">
        <f t="shared" si="162"/>
        <v>75</v>
      </c>
      <c r="O83" s="1">
        <v>194</v>
      </c>
      <c r="P83" s="1">
        <v>252</v>
      </c>
      <c r="Q83" s="1">
        <v>168</v>
      </c>
      <c r="R83" s="1">
        <v>218</v>
      </c>
      <c r="S83" s="1">
        <v>31</v>
      </c>
      <c r="T83" s="1">
        <v>40</v>
      </c>
      <c r="U83" s="1">
        <v>57</v>
      </c>
      <c r="V83" s="1">
        <v>75</v>
      </c>
      <c r="W83" s="1">
        <v>68</v>
      </c>
      <c r="X83" s="1">
        <v>88</v>
      </c>
      <c r="Y83" s="1">
        <v>89</v>
      </c>
      <c r="Z83" s="1">
        <v>115</v>
      </c>
      <c r="AA83" s="1">
        <v>31</v>
      </c>
      <c r="AB83" s="1">
        <v>40</v>
      </c>
      <c r="AC83" s="1">
        <v>115</v>
      </c>
      <c r="AD83" s="1">
        <v>150</v>
      </c>
      <c r="AE83" s="1">
        <v>31</v>
      </c>
      <c r="AF83" s="1">
        <v>40</v>
      </c>
      <c r="AG83" s="1">
        <v>21</v>
      </c>
      <c r="AH83" s="1">
        <v>27</v>
      </c>
      <c r="AI83" s="1">
        <v>7</v>
      </c>
      <c r="AJ83">
        <v>56</v>
      </c>
    </row>
    <row r="84" spans="1:36" x14ac:dyDescent="0.15">
      <c r="A84">
        <v>57</v>
      </c>
      <c r="B84" s="1">
        <f t="shared" si="150"/>
        <v>194</v>
      </c>
      <c r="C84" s="1">
        <f t="shared" si="151"/>
        <v>252</v>
      </c>
      <c r="D84" s="1">
        <f t="shared" si="152"/>
        <v>168</v>
      </c>
      <c r="E84" s="1">
        <f t="shared" si="153"/>
        <v>218</v>
      </c>
      <c r="F84" s="1">
        <f t="shared" si="154"/>
        <v>182</v>
      </c>
      <c r="G84" s="1">
        <f t="shared" si="155"/>
        <v>235</v>
      </c>
      <c r="H84">
        <f t="shared" si="156"/>
        <v>68</v>
      </c>
      <c r="I84">
        <f t="shared" si="157"/>
        <v>88</v>
      </c>
      <c r="J84">
        <f t="shared" si="158"/>
        <v>115</v>
      </c>
      <c r="K84">
        <f t="shared" si="159"/>
        <v>150</v>
      </c>
      <c r="L84">
        <f t="shared" si="160"/>
        <v>21</v>
      </c>
      <c r="M84">
        <f t="shared" si="161"/>
        <v>27</v>
      </c>
      <c r="N84">
        <f t="shared" si="162"/>
        <v>75</v>
      </c>
      <c r="O84" s="1">
        <v>194</v>
      </c>
      <c r="P84" s="1">
        <v>252</v>
      </c>
      <c r="Q84" s="1">
        <v>168</v>
      </c>
      <c r="R84" s="1">
        <v>218</v>
      </c>
      <c r="S84" s="1">
        <v>31</v>
      </c>
      <c r="T84" s="1">
        <v>40</v>
      </c>
      <c r="U84" s="1">
        <v>57</v>
      </c>
      <c r="V84" s="1">
        <v>75</v>
      </c>
      <c r="W84" s="1">
        <v>68</v>
      </c>
      <c r="X84" s="1">
        <v>88</v>
      </c>
      <c r="Y84" s="1">
        <v>89</v>
      </c>
      <c r="Z84" s="1">
        <v>115</v>
      </c>
      <c r="AA84" s="1">
        <v>31</v>
      </c>
      <c r="AB84" s="1">
        <v>40</v>
      </c>
      <c r="AC84" s="1">
        <v>115</v>
      </c>
      <c r="AD84" s="1">
        <v>150</v>
      </c>
      <c r="AE84" s="1">
        <v>31</v>
      </c>
      <c r="AF84" s="1">
        <v>40</v>
      </c>
      <c r="AG84" s="1">
        <v>21</v>
      </c>
      <c r="AH84" s="1">
        <v>27</v>
      </c>
      <c r="AI84" s="1">
        <v>7</v>
      </c>
      <c r="AJ84">
        <v>57</v>
      </c>
    </row>
    <row r="85" spans="1:36" x14ac:dyDescent="0.15">
      <c r="A85">
        <v>58</v>
      </c>
      <c r="B85" s="1">
        <f t="shared" si="150"/>
        <v>194</v>
      </c>
      <c r="C85" s="1">
        <f t="shared" si="151"/>
        <v>252</v>
      </c>
      <c r="D85" s="1">
        <f t="shared" si="152"/>
        <v>168</v>
      </c>
      <c r="E85" s="1">
        <f t="shared" si="153"/>
        <v>218</v>
      </c>
      <c r="F85" s="1">
        <f t="shared" si="154"/>
        <v>182</v>
      </c>
      <c r="G85" s="1">
        <f t="shared" si="155"/>
        <v>235</v>
      </c>
      <c r="H85">
        <f t="shared" si="156"/>
        <v>68</v>
      </c>
      <c r="I85">
        <f t="shared" si="157"/>
        <v>88</v>
      </c>
      <c r="J85">
        <f t="shared" si="158"/>
        <v>115</v>
      </c>
      <c r="K85">
        <f t="shared" si="159"/>
        <v>150</v>
      </c>
      <c r="L85">
        <f t="shared" si="160"/>
        <v>21</v>
      </c>
      <c r="M85">
        <f t="shared" si="161"/>
        <v>27</v>
      </c>
      <c r="N85">
        <f t="shared" si="162"/>
        <v>75</v>
      </c>
      <c r="O85" s="1">
        <v>194</v>
      </c>
      <c r="P85" s="1">
        <v>252</v>
      </c>
      <c r="Q85" s="1">
        <v>168</v>
      </c>
      <c r="R85" s="1">
        <v>218</v>
      </c>
      <c r="S85" s="1">
        <v>31</v>
      </c>
      <c r="T85" s="1">
        <v>40</v>
      </c>
      <c r="U85" s="1">
        <v>57</v>
      </c>
      <c r="V85" s="1">
        <v>75</v>
      </c>
      <c r="W85" s="1">
        <v>68</v>
      </c>
      <c r="X85" s="1">
        <v>88</v>
      </c>
      <c r="Y85" s="1">
        <v>89</v>
      </c>
      <c r="Z85" s="1">
        <v>115</v>
      </c>
      <c r="AA85" s="1">
        <v>31</v>
      </c>
      <c r="AB85" s="1">
        <v>40</v>
      </c>
      <c r="AC85" s="1">
        <v>115</v>
      </c>
      <c r="AD85" s="1">
        <v>150</v>
      </c>
      <c r="AE85" s="1">
        <v>31</v>
      </c>
      <c r="AF85" s="1">
        <v>40</v>
      </c>
      <c r="AG85" s="1">
        <v>21</v>
      </c>
      <c r="AH85" s="1">
        <v>27</v>
      </c>
      <c r="AI85" s="1">
        <v>7</v>
      </c>
      <c r="AJ85">
        <v>58</v>
      </c>
    </row>
    <row r="86" spans="1:36" x14ac:dyDescent="0.15">
      <c r="A86">
        <v>59</v>
      </c>
      <c r="B86" s="1">
        <f t="shared" si="150"/>
        <v>194</v>
      </c>
      <c r="C86" s="1">
        <f t="shared" si="151"/>
        <v>252</v>
      </c>
      <c r="D86" s="1">
        <f t="shared" si="152"/>
        <v>168</v>
      </c>
      <c r="E86" s="1">
        <f t="shared" si="153"/>
        <v>218</v>
      </c>
      <c r="F86" s="1">
        <f t="shared" si="154"/>
        <v>182</v>
      </c>
      <c r="G86" s="1">
        <f t="shared" si="155"/>
        <v>235</v>
      </c>
      <c r="H86">
        <f t="shared" si="156"/>
        <v>68</v>
      </c>
      <c r="I86">
        <f t="shared" si="157"/>
        <v>88</v>
      </c>
      <c r="J86">
        <f t="shared" si="158"/>
        <v>115</v>
      </c>
      <c r="K86">
        <f t="shared" si="159"/>
        <v>150</v>
      </c>
      <c r="L86">
        <f t="shared" si="160"/>
        <v>21</v>
      </c>
      <c r="M86">
        <f t="shared" si="161"/>
        <v>27</v>
      </c>
      <c r="N86">
        <f t="shared" si="162"/>
        <v>75</v>
      </c>
      <c r="O86" s="1">
        <v>194</v>
      </c>
      <c r="P86" s="1">
        <v>252</v>
      </c>
      <c r="Q86" s="1">
        <v>168</v>
      </c>
      <c r="R86" s="1">
        <v>218</v>
      </c>
      <c r="S86" s="1">
        <v>31</v>
      </c>
      <c r="T86" s="1">
        <v>40</v>
      </c>
      <c r="U86" s="1">
        <v>57</v>
      </c>
      <c r="V86" s="1">
        <v>75</v>
      </c>
      <c r="W86" s="1">
        <v>68</v>
      </c>
      <c r="X86" s="1">
        <v>88</v>
      </c>
      <c r="Y86" s="1">
        <v>89</v>
      </c>
      <c r="Z86" s="1">
        <v>115</v>
      </c>
      <c r="AA86" s="1">
        <v>31</v>
      </c>
      <c r="AB86" s="1">
        <v>40</v>
      </c>
      <c r="AC86" s="1">
        <v>115</v>
      </c>
      <c r="AD86" s="1">
        <v>150</v>
      </c>
      <c r="AE86" s="1">
        <v>31</v>
      </c>
      <c r="AF86" s="1">
        <v>40</v>
      </c>
      <c r="AG86" s="1">
        <v>21</v>
      </c>
      <c r="AH86" s="1">
        <v>27</v>
      </c>
      <c r="AI86" s="1">
        <v>7</v>
      </c>
      <c r="AJ86">
        <v>59</v>
      </c>
    </row>
    <row r="87" spans="1:36" x14ac:dyDescent="0.15">
      <c r="A87">
        <v>60</v>
      </c>
      <c r="B87" s="1">
        <f t="shared" si="20"/>
        <v>231</v>
      </c>
      <c r="C87" s="1">
        <f t="shared" si="21"/>
        <v>300</v>
      </c>
      <c r="D87" s="1">
        <f t="shared" si="22"/>
        <v>199</v>
      </c>
      <c r="E87" s="1">
        <f t="shared" si="23"/>
        <v>259</v>
      </c>
      <c r="F87" s="1">
        <f t="shared" si="24"/>
        <v>213</v>
      </c>
      <c r="G87" s="1">
        <f t="shared" si="25"/>
        <v>277</v>
      </c>
      <c r="H87">
        <f t="shared" si="26"/>
        <v>80</v>
      </c>
      <c r="I87">
        <f t="shared" si="27"/>
        <v>105</v>
      </c>
      <c r="J87">
        <f t="shared" si="28"/>
        <v>136</v>
      </c>
      <c r="K87">
        <f t="shared" si="29"/>
        <v>177</v>
      </c>
      <c r="L87">
        <f t="shared" si="30"/>
        <v>24</v>
      </c>
      <c r="M87">
        <f t="shared" si="31"/>
        <v>31</v>
      </c>
      <c r="N87">
        <f t="shared" si="32"/>
        <v>88</v>
      </c>
      <c r="O87" s="1">
        <v>231</v>
      </c>
      <c r="P87" s="1">
        <v>300</v>
      </c>
      <c r="Q87" s="1">
        <v>199</v>
      </c>
      <c r="R87" s="1">
        <v>259</v>
      </c>
      <c r="S87" s="1">
        <v>36</v>
      </c>
      <c r="T87" s="1">
        <v>47</v>
      </c>
      <c r="U87" s="1">
        <v>68</v>
      </c>
      <c r="V87" s="1">
        <v>88</v>
      </c>
      <c r="W87" s="1">
        <v>80</v>
      </c>
      <c r="X87" s="1">
        <v>105</v>
      </c>
      <c r="Y87" s="1">
        <v>105</v>
      </c>
      <c r="Z87" s="1">
        <v>136</v>
      </c>
      <c r="AA87" s="1">
        <v>36</v>
      </c>
      <c r="AB87" s="1">
        <v>47</v>
      </c>
      <c r="AC87" s="1">
        <v>136</v>
      </c>
      <c r="AD87" s="1">
        <v>177</v>
      </c>
      <c r="AE87" s="1">
        <v>36</v>
      </c>
      <c r="AF87" s="1">
        <v>47</v>
      </c>
      <c r="AG87" s="1">
        <v>24</v>
      </c>
      <c r="AH87" s="1">
        <v>31</v>
      </c>
      <c r="AI87" s="1">
        <v>8</v>
      </c>
      <c r="AJ87">
        <v>60</v>
      </c>
    </row>
    <row r="88" spans="1:36" x14ac:dyDescent="0.15">
      <c r="A88">
        <v>61</v>
      </c>
      <c r="B88" s="1">
        <f t="shared" ref="B88:B89" si="163">O88</f>
        <v>231</v>
      </c>
      <c r="C88" s="1">
        <f t="shared" ref="C88:C89" si="164">P88</f>
        <v>300</v>
      </c>
      <c r="D88" s="1">
        <f t="shared" ref="D88:D89" si="165">Q88</f>
        <v>199</v>
      </c>
      <c r="E88" s="1">
        <f t="shared" ref="E88:E89" si="166">R88</f>
        <v>259</v>
      </c>
      <c r="F88" s="1">
        <f t="shared" ref="F88:F89" si="167">S88+Y88+AA88+AE88</f>
        <v>213</v>
      </c>
      <c r="G88" s="1">
        <f t="shared" ref="G88:G89" si="168">T88+Z88+AB88+AF88</f>
        <v>277</v>
      </c>
      <c r="H88">
        <f t="shared" ref="H88:H89" si="169">W88</f>
        <v>80</v>
      </c>
      <c r="I88">
        <f t="shared" ref="I88:I89" si="170">X88</f>
        <v>105</v>
      </c>
      <c r="J88">
        <f t="shared" ref="J88:J89" si="171">AC88</f>
        <v>136</v>
      </c>
      <c r="K88">
        <f t="shared" ref="K88:K89" si="172">AD88</f>
        <v>177</v>
      </c>
      <c r="L88">
        <f t="shared" ref="L88:L89" si="173">AG88</f>
        <v>24</v>
      </c>
      <c r="M88">
        <f t="shared" ref="M88:M89" si="174">AH88</f>
        <v>31</v>
      </c>
      <c r="N88">
        <f t="shared" ref="N88:N89" si="175">V88</f>
        <v>88</v>
      </c>
      <c r="O88" s="1">
        <v>231</v>
      </c>
      <c r="P88" s="1">
        <v>300</v>
      </c>
      <c r="Q88" s="1">
        <v>199</v>
      </c>
      <c r="R88" s="1">
        <v>259</v>
      </c>
      <c r="S88" s="1">
        <v>36</v>
      </c>
      <c r="T88" s="1">
        <v>47</v>
      </c>
      <c r="U88" s="1">
        <v>68</v>
      </c>
      <c r="V88" s="1">
        <v>88</v>
      </c>
      <c r="W88" s="1">
        <v>80</v>
      </c>
      <c r="X88" s="1">
        <v>105</v>
      </c>
      <c r="Y88" s="1">
        <v>105</v>
      </c>
      <c r="Z88" s="1">
        <v>136</v>
      </c>
      <c r="AA88" s="1">
        <v>36</v>
      </c>
      <c r="AB88" s="1">
        <v>47</v>
      </c>
      <c r="AC88" s="1">
        <v>136</v>
      </c>
      <c r="AD88" s="1">
        <v>177</v>
      </c>
      <c r="AE88" s="1">
        <v>36</v>
      </c>
      <c r="AF88" s="1">
        <v>47</v>
      </c>
      <c r="AG88" s="1">
        <v>24</v>
      </c>
      <c r="AH88" s="1">
        <v>31</v>
      </c>
      <c r="AI88" s="1">
        <v>8</v>
      </c>
      <c r="AJ88">
        <v>61</v>
      </c>
    </row>
    <row r="89" spans="1:36" x14ac:dyDescent="0.15">
      <c r="A89">
        <v>62</v>
      </c>
      <c r="B89" s="1">
        <f t="shared" si="163"/>
        <v>231</v>
      </c>
      <c r="C89" s="1">
        <f t="shared" si="164"/>
        <v>300</v>
      </c>
      <c r="D89" s="1">
        <f t="shared" si="165"/>
        <v>199</v>
      </c>
      <c r="E89" s="1">
        <f t="shared" si="166"/>
        <v>259</v>
      </c>
      <c r="F89" s="1">
        <f t="shared" si="167"/>
        <v>213</v>
      </c>
      <c r="G89" s="1">
        <f t="shared" si="168"/>
        <v>277</v>
      </c>
      <c r="H89">
        <f t="shared" si="169"/>
        <v>80</v>
      </c>
      <c r="I89">
        <f t="shared" si="170"/>
        <v>105</v>
      </c>
      <c r="J89">
        <f t="shared" si="171"/>
        <v>136</v>
      </c>
      <c r="K89">
        <f t="shared" si="172"/>
        <v>177</v>
      </c>
      <c r="L89">
        <f t="shared" si="173"/>
        <v>24</v>
      </c>
      <c r="M89">
        <f t="shared" si="174"/>
        <v>31</v>
      </c>
      <c r="N89">
        <f t="shared" si="175"/>
        <v>88</v>
      </c>
      <c r="O89" s="1">
        <v>231</v>
      </c>
      <c r="P89" s="1">
        <v>300</v>
      </c>
      <c r="Q89" s="1">
        <v>199</v>
      </c>
      <c r="R89" s="1">
        <v>259</v>
      </c>
      <c r="S89" s="1">
        <v>36</v>
      </c>
      <c r="T89" s="1">
        <v>47</v>
      </c>
      <c r="U89" s="1">
        <v>68</v>
      </c>
      <c r="V89" s="1">
        <v>88</v>
      </c>
      <c r="W89" s="1">
        <v>80</v>
      </c>
      <c r="X89" s="1">
        <v>105</v>
      </c>
      <c r="Y89" s="1">
        <v>105</v>
      </c>
      <c r="Z89" s="1">
        <v>136</v>
      </c>
      <c r="AA89" s="1">
        <v>36</v>
      </c>
      <c r="AB89" s="1">
        <v>47</v>
      </c>
      <c r="AC89" s="1">
        <v>136</v>
      </c>
      <c r="AD89" s="1">
        <v>177</v>
      </c>
      <c r="AE89" s="1">
        <v>36</v>
      </c>
      <c r="AF89" s="1">
        <v>47</v>
      </c>
      <c r="AG89" s="1">
        <v>24</v>
      </c>
      <c r="AH89" s="1">
        <v>31</v>
      </c>
      <c r="AI89" s="1">
        <v>8</v>
      </c>
      <c r="AJ89">
        <v>62</v>
      </c>
    </row>
    <row r="90" spans="1:36" x14ac:dyDescent="0.15">
      <c r="A90">
        <v>63</v>
      </c>
      <c r="B90" s="1">
        <f t="shared" ref="B90:B96" si="176">O90</f>
        <v>231</v>
      </c>
      <c r="C90" s="1">
        <f t="shared" ref="C90:C96" si="177">P90</f>
        <v>300</v>
      </c>
      <c r="D90" s="1">
        <f t="shared" ref="D90:D96" si="178">Q90</f>
        <v>199</v>
      </c>
      <c r="E90" s="1">
        <f t="shared" ref="E90:E96" si="179">R90</f>
        <v>259</v>
      </c>
      <c r="F90" s="1">
        <f t="shared" ref="F90:F96" si="180">S90+Y90+AA90+AE90</f>
        <v>213</v>
      </c>
      <c r="G90" s="1">
        <f t="shared" ref="G90:G96" si="181">T90+Z90+AB90+AF90</f>
        <v>277</v>
      </c>
      <c r="H90">
        <f t="shared" ref="H90:H96" si="182">W90</f>
        <v>80</v>
      </c>
      <c r="I90">
        <f t="shared" ref="I90:I96" si="183">X90</f>
        <v>105</v>
      </c>
      <c r="J90">
        <f t="shared" ref="J90:J96" si="184">AC90</f>
        <v>136</v>
      </c>
      <c r="K90">
        <f t="shared" ref="K90:K96" si="185">AD90</f>
        <v>177</v>
      </c>
      <c r="L90">
        <f t="shared" ref="L90:L96" si="186">AG90</f>
        <v>24</v>
      </c>
      <c r="M90">
        <f t="shared" ref="M90:M96" si="187">AH90</f>
        <v>31</v>
      </c>
      <c r="N90">
        <f t="shared" ref="N90:N96" si="188">V90</f>
        <v>88</v>
      </c>
      <c r="O90" s="1">
        <v>231</v>
      </c>
      <c r="P90" s="1">
        <v>300</v>
      </c>
      <c r="Q90" s="1">
        <v>199</v>
      </c>
      <c r="R90" s="1">
        <v>259</v>
      </c>
      <c r="S90" s="1">
        <v>36</v>
      </c>
      <c r="T90" s="1">
        <v>47</v>
      </c>
      <c r="U90" s="1">
        <v>68</v>
      </c>
      <c r="V90" s="1">
        <v>88</v>
      </c>
      <c r="W90" s="1">
        <v>80</v>
      </c>
      <c r="X90" s="1">
        <v>105</v>
      </c>
      <c r="Y90" s="1">
        <v>105</v>
      </c>
      <c r="Z90" s="1">
        <v>136</v>
      </c>
      <c r="AA90" s="1">
        <v>36</v>
      </c>
      <c r="AB90" s="1">
        <v>47</v>
      </c>
      <c r="AC90" s="1">
        <v>136</v>
      </c>
      <c r="AD90" s="1">
        <v>177</v>
      </c>
      <c r="AE90" s="1">
        <v>36</v>
      </c>
      <c r="AF90" s="1">
        <v>47</v>
      </c>
      <c r="AG90" s="1">
        <v>24</v>
      </c>
      <c r="AH90" s="1">
        <v>31</v>
      </c>
      <c r="AI90" s="1">
        <v>8</v>
      </c>
      <c r="AJ90">
        <v>63</v>
      </c>
    </row>
    <row r="91" spans="1:36" x14ac:dyDescent="0.15">
      <c r="A91">
        <v>64</v>
      </c>
      <c r="B91" s="1">
        <f t="shared" si="176"/>
        <v>231</v>
      </c>
      <c r="C91" s="1">
        <f t="shared" si="177"/>
        <v>300</v>
      </c>
      <c r="D91" s="1">
        <f t="shared" si="178"/>
        <v>199</v>
      </c>
      <c r="E91" s="1">
        <f t="shared" si="179"/>
        <v>259</v>
      </c>
      <c r="F91" s="1">
        <f t="shared" si="180"/>
        <v>213</v>
      </c>
      <c r="G91" s="1">
        <f t="shared" si="181"/>
        <v>277</v>
      </c>
      <c r="H91">
        <f t="shared" si="182"/>
        <v>80</v>
      </c>
      <c r="I91">
        <f t="shared" si="183"/>
        <v>105</v>
      </c>
      <c r="J91">
        <f t="shared" si="184"/>
        <v>136</v>
      </c>
      <c r="K91">
        <f t="shared" si="185"/>
        <v>177</v>
      </c>
      <c r="L91">
        <f t="shared" si="186"/>
        <v>24</v>
      </c>
      <c r="M91">
        <f t="shared" si="187"/>
        <v>31</v>
      </c>
      <c r="N91">
        <f t="shared" si="188"/>
        <v>88</v>
      </c>
      <c r="O91" s="1">
        <v>231</v>
      </c>
      <c r="P91" s="1">
        <v>300</v>
      </c>
      <c r="Q91" s="1">
        <v>199</v>
      </c>
      <c r="R91" s="1">
        <v>259</v>
      </c>
      <c r="S91" s="1">
        <v>36</v>
      </c>
      <c r="T91" s="1">
        <v>47</v>
      </c>
      <c r="U91" s="1">
        <v>68</v>
      </c>
      <c r="V91" s="1">
        <v>88</v>
      </c>
      <c r="W91" s="1">
        <v>80</v>
      </c>
      <c r="X91" s="1">
        <v>105</v>
      </c>
      <c r="Y91" s="1">
        <v>105</v>
      </c>
      <c r="Z91" s="1">
        <v>136</v>
      </c>
      <c r="AA91" s="1">
        <v>36</v>
      </c>
      <c r="AB91" s="1">
        <v>47</v>
      </c>
      <c r="AC91" s="1">
        <v>136</v>
      </c>
      <c r="AD91" s="1">
        <v>177</v>
      </c>
      <c r="AE91" s="1">
        <v>36</v>
      </c>
      <c r="AF91" s="1">
        <v>47</v>
      </c>
      <c r="AG91" s="1">
        <v>24</v>
      </c>
      <c r="AH91" s="1">
        <v>31</v>
      </c>
      <c r="AI91" s="1">
        <v>8</v>
      </c>
      <c r="AJ91">
        <v>64</v>
      </c>
    </row>
    <row r="92" spans="1:36" x14ac:dyDescent="0.15">
      <c r="A92">
        <v>65</v>
      </c>
      <c r="B92" s="1">
        <f t="shared" si="176"/>
        <v>231</v>
      </c>
      <c r="C92" s="1">
        <f t="shared" si="177"/>
        <v>300</v>
      </c>
      <c r="D92" s="1">
        <f t="shared" si="178"/>
        <v>199</v>
      </c>
      <c r="E92" s="1">
        <f t="shared" si="179"/>
        <v>259</v>
      </c>
      <c r="F92" s="1">
        <f t="shared" si="180"/>
        <v>213</v>
      </c>
      <c r="G92" s="1">
        <f t="shared" si="181"/>
        <v>277</v>
      </c>
      <c r="H92">
        <f t="shared" si="182"/>
        <v>80</v>
      </c>
      <c r="I92">
        <f t="shared" si="183"/>
        <v>105</v>
      </c>
      <c r="J92">
        <f t="shared" si="184"/>
        <v>136</v>
      </c>
      <c r="K92">
        <f t="shared" si="185"/>
        <v>177</v>
      </c>
      <c r="L92">
        <f t="shared" si="186"/>
        <v>24</v>
      </c>
      <c r="M92">
        <f t="shared" si="187"/>
        <v>31</v>
      </c>
      <c r="N92">
        <f t="shared" si="188"/>
        <v>88</v>
      </c>
      <c r="O92" s="1">
        <v>231</v>
      </c>
      <c r="P92" s="1">
        <v>300</v>
      </c>
      <c r="Q92" s="1">
        <v>199</v>
      </c>
      <c r="R92" s="1">
        <v>259</v>
      </c>
      <c r="S92" s="1">
        <v>36</v>
      </c>
      <c r="T92" s="1">
        <v>47</v>
      </c>
      <c r="U92" s="1">
        <v>68</v>
      </c>
      <c r="V92" s="1">
        <v>88</v>
      </c>
      <c r="W92" s="1">
        <v>80</v>
      </c>
      <c r="X92" s="1">
        <v>105</v>
      </c>
      <c r="Y92" s="1">
        <v>105</v>
      </c>
      <c r="Z92" s="1">
        <v>136</v>
      </c>
      <c r="AA92" s="1">
        <v>36</v>
      </c>
      <c r="AB92" s="1">
        <v>47</v>
      </c>
      <c r="AC92" s="1">
        <v>136</v>
      </c>
      <c r="AD92" s="1">
        <v>177</v>
      </c>
      <c r="AE92" s="1">
        <v>36</v>
      </c>
      <c r="AF92" s="1">
        <v>47</v>
      </c>
      <c r="AG92" s="1">
        <v>24</v>
      </c>
      <c r="AH92" s="1">
        <v>31</v>
      </c>
      <c r="AI92" s="1">
        <v>9</v>
      </c>
      <c r="AJ92">
        <v>65</v>
      </c>
    </row>
    <row r="93" spans="1:36" x14ac:dyDescent="0.15">
      <c r="A93">
        <v>66</v>
      </c>
      <c r="B93" s="1">
        <f t="shared" si="176"/>
        <v>231</v>
      </c>
      <c r="C93" s="1">
        <f t="shared" si="177"/>
        <v>300</v>
      </c>
      <c r="D93" s="1">
        <f t="shared" si="178"/>
        <v>199</v>
      </c>
      <c r="E93" s="1">
        <f t="shared" si="179"/>
        <v>259</v>
      </c>
      <c r="F93" s="1">
        <f t="shared" si="180"/>
        <v>213</v>
      </c>
      <c r="G93" s="1">
        <f t="shared" si="181"/>
        <v>277</v>
      </c>
      <c r="H93">
        <f t="shared" si="182"/>
        <v>80</v>
      </c>
      <c r="I93">
        <f t="shared" si="183"/>
        <v>105</v>
      </c>
      <c r="J93">
        <f t="shared" si="184"/>
        <v>136</v>
      </c>
      <c r="K93">
        <f t="shared" si="185"/>
        <v>177</v>
      </c>
      <c r="L93">
        <f t="shared" si="186"/>
        <v>24</v>
      </c>
      <c r="M93">
        <f t="shared" si="187"/>
        <v>31</v>
      </c>
      <c r="N93">
        <f t="shared" si="188"/>
        <v>88</v>
      </c>
      <c r="O93" s="1">
        <v>231</v>
      </c>
      <c r="P93" s="1">
        <v>300</v>
      </c>
      <c r="Q93" s="1">
        <v>199</v>
      </c>
      <c r="R93" s="1">
        <v>259</v>
      </c>
      <c r="S93" s="1">
        <v>36</v>
      </c>
      <c r="T93" s="1">
        <v>47</v>
      </c>
      <c r="U93" s="1">
        <v>68</v>
      </c>
      <c r="V93" s="1">
        <v>88</v>
      </c>
      <c r="W93" s="1">
        <v>80</v>
      </c>
      <c r="X93" s="1">
        <v>105</v>
      </c>
      <c r="Y93" s="1">
        <v>105</v>
      </c>
      <c r="Z93" s="1">
        <v>136</v>
      </c>
      <c r="AA93" s="1">
        <v>36</v>
      </c>
      <c r="AB93" s="1">
        <v>47</v>
      </c>
      <c r="AC93" s="1">
        <v>136</v>
      </c>
      <c r="AD93" s="1">
        <v>177</v>
      </c>
      <c r="AE93" s="1">
        <v>36</v>
      </c>
      <c r="AF93" s="1">
        <v>47</v>
      </c>
      <c r="AG93" s="1">
        <v>24</v>
      </c>
      <c r="AH93" s="1">
        <v>31</v>
      </c>
      <c r="AI93" s="1">
        <v>9</v>
      </c>
      <c r="AJ93">
        <v>66</v>
      </c>
    </row>
    <row r="94" spans="1:36" x14ac:dyDescent="0.15">
      <c r="A94">
        <v>67</v>
      </c>
      <c r="B94" s="1">
        <f t="shared" si="176"/>
        <v>231</v>
      </c>
      <c r="C94" s="1">
        <f t="shared" si="177"/>
        <v>300</v>
      </c>
      <c r="D94" s="1">
        <f t="shared" si="178"/>
        <v>199</v>
      </c>
      <c r="E94" s="1">
        <f t="shared" si="179"/>
        <v>259</v>
      </c>
      <c r="F94" s="1">
        <f t="shared" si="180"/>
        <v>213</v>
      </c>
      <c r="G94" s="1">
        <f t="shared" si="181"/>
        <v>277</v>
      </c>
      <c r="H94">
        <f t="shared" si="182"/>
        <v>80</v>
      </c>
      <c r="I94">
        <f t="shared" si="183"/>
        <v>105</v>
      </c>
      <c r="J94">
        <f t="shared" si="184"/>
        <v>136</v>
      </c>
      <c r="K94">
        <f t="shared" si="185"/>
        <v>177</v>
      </c>
      <c r="L94">
        <f t="shared" si="186"/>
        <v>24</v>
      </c>
      <c r="M94">
        <f t="shared" si="187"/>
        <v>31</v>
      </c>
      <c r="N94">
        <f t="shared" si="188"/>
        <v>88</v>
      </c>
      <c r="O94" s="1">
        <v>231</v>
      </c>
      <c r="P94" s="1">
        <v>300</v>
      </c>
      <c r="Q94" s="1">
        <v>199</v>
      </c>
      <c r="R94" s="1">
        <v>259</v>
      </c>
      <c r="S94" s="1">
        <v>36</v>
      </c>
      <c r="T94" s="1">
        <v>47</v>
      </c>
      <c r="U94" s="1">
        <v>68</v>
      </c>
      <c r="V94" s="1">
        <v>88</v>
      </c>
      <c r="W94" s="1">
        <v>80</v>
      </c>
      <c r="X94" s="1">
        <v>105</v>
      </c>
      <c r="Y94" s="1">
        <v>105</v>
      </c>
      <c r="Z94" s="1">
        <v>136</v>
      </c>
      <c r="AA94" s="1">
        <v>36</v>
      </c>
      <c r="AB94" s="1">
        <v>47</v>
      </c>
      <c r="AC94" s="1">
        <v>136</v>
      </c>
      <c r="AD94" s="1">
        <v>177</v>
      </c>
      <c r="AE94" s="1">
        <v>36</v>
      </c>
      <c r="AF94" s="1">
        <v>47</v>
      </c>
      <c r="AG94" s="1">
        <v>24</v>
      </c>
      <c r="AH94" s="1">
        <v>31</v>
      </c>
      <c r="AI94" s="1">
        <v>9</v>
      </c>
      <c r="AJ94">
        <v>67</v>
      </c>
    </row>
    <row r="95" spans="1:36" x14ac:dyDescent="0.15">
      <c r="A95">
        <v>68</v>
      </c>
      <c r="B95" s="1">
        <f t="shared" si="176"/>
        <v>231</v>
      </c>
      <c r="C95" s="1">
        <f t="shared" si="177"/>
        <v>300</v>
      </c>
      <c r="D95" s="1">
        <f t="shared" si="178"/>
        <v>199</v>
      </c>
      <c r="E95" s="1">
        <f t="shared" si="179"/>
        <v>259</v>
      </c>
      <c r="F95" s="1">
        <f t="shared" si="180"/>
        <v>213</v>
      </c>
      <c r="G95" s="1">
        <f t="shared" si="181"/>
        <v>277</v>
      </c>
      <c r="H95">
        <f t="shared" si="182"/>
        <v>80</v>
      </c>
      <c r="I95">
        <f t="shared" si="183"/>
        <v>105</v>
      </c>
      <c r="J95">
        <f t="shared" si="184"/>
        <v>136</v>
      </c>
      <c r="K95">
        <f t="shared" si="185"/>
        <v>177</v>
      </c>
      <c r="L95">
        <f t="shared" si="186"/>
        <v>24</v>
      </c>
      <c r="M95">
        <f t="shared" si="187"/>
        <v>31</v>
      </c>
      <c r="N95">
        <f t="shared" si="188"/>
        <v>88</v>
      </c>
      <c r="O95" s="1">
        <v>231</v>
      </c>
      <c r="P95" s="1">
        <v>300</v>
      </c>
      <c r="Q95" s="1">
        <v>199</v>
      </c>
      <c r="R95" s="1">
        <v>259</v>
      </c>
      <c r="S95" s="1">
        <v>36</v>
      </c>
      <c r="T95" s="1">
        <v>47</v>
      </c>
      <c r="U95" s="1">
        <v>68</v>
      </c>
      <c r="V95" s="1">
        <v>88</v>
      </c>
      <c r="W95" s="1">
        <v>80</v>
      </c>
      <c r="X95" s="1">
        <v>105</v>
      </c>
      <c r="Y95" s="1">
        <v>105</v>
      </c>
      <c r="Z95" s="1">
        <v>136</v>
      </c>
      <c r="AA95" s="1">
        <v>36</v>
      </c>
      <c r="AB95" s="1">
        <v>47</v>
      </c>
      <c r="AC95" s="1">
        <v>136</v>
      </c>
      <c r="AD95" s="1">
        <v>177</v>
      </c>
      <c r="AE95" s="1">
        <v>36</v>
      </c>
      <c r="AF95" s="1">
        <v>47</v>
      </c>
      <c r="AG95" s="1">
        <v>24</v>
      </c>
      <c r="AH95" s="1">
        <v>31</v>
      </c>
      <c r="AI95" s="1">
        <v>9</v>
      </c>
      <c r="AJ95">
        <v>68</v>
      </c>
    </row>
    <row r="96" spans="1:36" x14ac:dyDescent="0.15">
      <c r="A96">
        <v>69</v>
      </c>
      <c r="B96" s="1">
        <f t="shared" si="176"/>
        <v>231</v>
      </c>
      <c r="C96" s="1">
        <f t="shared" si="177"/>
        <v>300</v>
      </c>
      <c r="D96" s="1">
        <f t="shared" si="178"/>
        <v>199</v>
      </c>
      <c r="E96" s="1">
        <f t="shared" si="179"/>
        <v>259</v>
      </c>
      <c r="F96" s="1">
        <f t="shared" si="180"/>
        <v>213</v>
      </c>
      <c r="G96" s="1">
        <f t="shared" si="181"/>
        <v>277</v>
      </c>
      <c r="H96">
        <f t="shared" si="182"/>
        <v>80</v>
      </c>
      <c r="I96">
        <f t="shared" si="183"/>
        <v>105</v>
      </c>
      <c r="J96">
        <f t="shared" si="184"/>
        <v>136</v>
      </c>
      <c r="K96">
        <f t="shared" si="185"/>
        <v>177</v>
      </c>
      <c r="L96">
        <f t="shared" si="186"/>
        <v>24</v>
      </c>
      <c r="M96">
        <f t="shared" si="187"/>
        <v>31</v>
      </c>
      <c r="N96">
        <f t="shared" si="188"/>
        <v>88</v>
      </c>
      <c r="O96" s="1">
        <v>231</v>
      </c>
      <c r="P96" s="1">
        <v>300</v>
      </c>
      <c r="Q96" s="1">
        <v>199</v>
      </c>
      <c r="R96" s="1">
        <v>259</v>
      </c>
      <c r="S96" s="1">
        <v>36</v>
      </c>
      <c r="T96" s="1">
        <v>47</v>
      </c>
      <c r="U96" s="1">
        <v>68</v>
      </c>
      <c r="V96" s="1">
        <v>88</v>
      </c>
      <c r="W96" s="1">
        <v>80</v>
      </c>
      <c r="X96" s="1">
        <v>105</v>
      </c>
      <c r="Y96" s="1">
        <v>105</v>
      </c>
      <c r="Z96" s="1">
        <v>136</v>
      </c>
      <c r="AA96" s="1">
        <v>36</v>
      </c>
      <c r="AB96" s="1">
        <v>47</v>
      </c>
      <c r="AC96" s="1">
        <v>136</v>
      </c>
      <c r="AD96" s="1">
        <v>177</v>
      </c>
      <c r="AE96" s="1">
        <v>36</v>
      </c>
      <c r="AF96" s="1">
        <v>47</v>
      </c>
      <c r="AG96" s="1">
        <v>24</v>
      </c>
      <c r="AH96" s="1">
        <v>31</v>
      </c>
      <c r="AI96" s="1">
        <v>9</v>
      </c>
      <c r="AJ96">
        <v>69</v>
      </c>
    </row>
    <row r="97" spans="1:36" x14ac:dyDescent="0.15">
      <c r="A97">
        <v>70</v>
      </c>
      <c r="B97" s="1">
        <f t="shared" si="20"/>
        <v>267</v>
      </c>
      <c r="C97" s="1">
        <f t="shared" si="21"/>
        <v>347</v>
      </c>
      <c r="D97" s="1">
        <f t="shared" si="22"/>
        <v>231</v>
      </c>
      <c r="E97" s="1">
        <f t="shared" si="23"/>
        <v>300</v>
      </c>
      <c r="F97" s="1">
        <f t="shared" si="24"/>
        <v>246</v>
      </c>
      <c r="G97" s="1">
        <f t="shared" si="25"/>
        <v>318</v>
      </c>
      <c r="H97">
        <f t="shared" si="26"/>
        <v>93</v>
      </c>
      <c r="I97">
        <f t="shared" si="27"/>
        <v>120</v>
      </c>
      <c r="J97">
        <f t="shared" si="28"/>
        <v>157</v>
      </c>
      <c r="K97">
        <f t="shared" si="29"/>
        <v>204</v>
      </c>
      <c r="L97">
        <f t="shared" si="30"/>
        <v>27</v>
      </c>
      <c r="M97">
        <f t="shared" si="31"/>
        <v>35</v>
      </c>
      <c r="N97">
        <f t="shared" si="32"/>
        <v>102</v>
      </c>
      <c r="O97" s="1">
        <v>267</v>
      </c>
      <c r="P97" s="1">
        <v>347</v>
      </c>
      <c r="Q97" s="1">
        <v>231</v>
      </c>
      <c r="R97" s="1">
        <v>300</v>
      </c>
      <c r="S97" s="1">
        <v>42</v>
      </c>
      <c r="T97" s="1">
        <v>54</v>
      </c>
      <c r="U97" s="1">
        <v>78</v>
      </c>
      <c r="V97" s="1">
        <v>102</v>
      </c>
      <c r="W97" s="1">
        <v>93</v>
      </c>
      <c r="X97" s="1">
        <v>120</v>
      </c>
      <c r="Y97" s="1">
        <v>120</v>
      </c>
      <c r="Z97" s="1">
        <v>156</v>
      </c>
      <c r="AA97" s="1">
        <v>42</v>
      </c>
      <c r="AB97" s="1">
        <v>54</v>
      </c>
      <c r="AC97" s="1">
        <v>157</v>
      </c>
      <c r="AD97" s="1">
        <v>204</v>
      </c>
      <c r="AE97" s="1">
        <v>42</v>
      </c>
      <c r="AF97" s="1">
        <v>54</v>
      </c>
      <c r="AG97" s="1">
        <v>27</v>
      </c>
      <c r="AH97" s="1">
        <v>35</v>
      </c>
      <c r="AI97" s="1">
        <v>10</v>
      </c>
      <c r="AJ97">
        <v>70</v>
      </c>
    </row>
    <row r="98" spans="1:36" x14ac:dyDescent="0.15">
      <c r="A98">
        <v>71</v>
      </c>
      <c r="B98" s="1">
        <f t="shared" ref="B98:B99" si="189">O98</f>
        <v>267</v>
      </c>
      <c r="C98" s="1">
        <f t="shared" ref="C98:C99" si="190">P98</f>
        <v>347</v>
      </c>
      <c r="D98" s="1">
        <f t="shared" ref="D98:D99" si="191">Q98</f>
        <v>231</v>
      </c>
      <c r="E98" s="1">
        <f t="shared" ref="E98:E99" si="192">R98</f>
        <v>300</v>
      </c>
      <c r="F98" s="1">
        <f t="shared" ref="F98:F99" si="193">S98+Y98+AA98+AE98</f>
        <v>246</v>
      </c>
      <c r="G98" s="1">
        <f t="shared" ref="G98:G99" si="194">T98+Z98+AB98+AF98</f>
        <v>318</v>
      </c>
      <c r="H98">
        <f t="shared" ref="H98:H99" si="195">W98</f>
        <v>93</v>
      </c>
      <c r="I98">
        <f t="shared" ref="I98:I99" si="196">X98</f>
        <v>120</v>
      </c>
      <c r="J98">
        <f t="shared" ref="J98:J99" si="197">AC98</f>
        <v>157</v>
      </c>
      <c r="K98">
        <f t="shared" ref="K98:K99" si="198">AD98</f>
        <v>204</v>
      </c>
      <c r="L98">
        <f t="shared" ref="L98:L99" si="199">AG98</f>
        <v>27</v>
      </c>
      <c r="M98">
        <f t="shared" ref="M98:M99" si="200">AH98</f>
        <v>35</v>
      </c>
      <c r="N98">
        <f t="shared" ref="N98:N99" si="201">V98</f>
        <v>102</v>
      </c>
      <c r="O98" s="1">
        <v>267</v>
      </c>
      <c r="P98" s="1">
        <v>347</v>
      </c>
      <c r="Q98" s="1">
        <v>231</v>
      </c>
      <c r="R98" s="1">
        <v>300</v>
      </c>
      <c r="S98" s="1">
        <v>42</v>
      </c>
      <c r="T98" s="1">
        <v>54</v>
      </c>
      <c r="U98" s="1">
        <v>78</v>
      </c>
      <c r="V98" s="1">
        <v>102</v>
      </c>
      <c r="W98" s="1">
        <v>93</v>
      </c>
      <c r="X98" s="1">
        <v>120</v>
      </c>
      <c r="Y98" s="1">
        <v>120</v>
      </c>
      <c r="Z98" s="1">
        <v>156</v>
      </c>
      <c r="AA98" s="1">
        <v>42</v>
      </c>
      <c r="AB98" s="1">
        <v>54</v>
      </c>
      <c r="AC98" s="1">
        <v>157</v>
      </c>
      <c r="AD98" s="1">
        <v>204</v>
      </c>
      <c r="AE98" s="1">
        <v>42</v>
      </c>
      <c r="AF98" s="1">
        <v>54</v>
      </c>
      <c r="AG98" s="1">
        <v>27</v>
      </c>
      <c r="AH98" s="1">
        <v>35</v>
      </c>
      <c r="AI98" s="1">
        <v>10</v>
      </c>
      <c r="AJ98">
        <v>71</v>
      </c>
    </row>
    <row r="99" spans="1:36" x14ac:dyDescent="0.15">
      <c r="A99">
        <v>72</v>
      </c>
      <c r="B99" s="1">
        <f t="shared" si="189"/>
        <v>267</v>
      </c>
      <c r="C99" s="1">
        <f t="shared" si="190"/>
        <v>347</v>
      </c>
      <c r="D99" s="1">
        <f t="shared" si="191"/>
        <v>231</v>
      </c>
      <c r="E99" s="1">
        <f t="shared" si="192"/>
        <v>300</v>
      </c>
      <c r="F99" s="1">
        <f t="shared" si="193"/>
        <v>246</v>
      </c>
      <c r="G99" s="1">
        <f t="shared" si="194"/>
        <v>318</v>
      </c>
      <c r="H99">
        <f t="shared" si="195"/>
        <v>93</v>
      </c>
      <c r="I99">
        <f t="shared" si="196"/>
        <v>120</v>
      </c>
      <c r="J99">
        <f t="shared" si="197"/>
        <v>157</v>
      </c>
      <c r="K99">
        <f t="shared" si="198"/>
        <v>204</v>
      </c>
      <c r="L99">
        <f t="shared" si="199"/>
        <v>27</v>
      </c>
      <c r="M99">
        <f t="shared" si="200"/>
        <v>35</v>
      </c>
      <c r="N99">
        <f t="shared" si="201"/>
        <v>102</v>
      </c>
      <c r="O99" s="1">
        <v>267</v>
      </c>
      <c r="P99" s="1">
        <v>347</v>
      </c>
      <c r="Q99" s="1">
        <v>231</v>
      </c>
      <c r="R99" s="1">
        <v>300</v>
      </c>
      <c r="S99" s="1">
        <v>42</v>
      </c>
      <c r="T99" s="1">
        <v>54</v>
      </c>
      <c r="U99" s="1">
        <v>78</v>
      </c>
      <c r="V99" s="1">
        <v>102</v>
      </c>
      <c r="W99" s="1">
        <v>93</v>
      </c>
      <c r="X99" s="1">
        <v>120</v>
      </c>
      <c r="Y99" s="1">
        <v>120</v>
      </c>
      <c r="Z99" s="1">
        <v>156</v>
      </c>
      <c r="AA99" s="1">
        <v>42</v>
      </c>
      <c r="AB99" s="1">
        <v>54</v>
      </c>
      <c r="AC99" s="1">
        <v>157</v>
      </c>
      <c r="AD99" s="1">
        <v>204</v>
      </c>
      <c r="AE99" s="1">
        <v>42</v>
      </c>
      <c r="AF99" s="1">
        <v>54</v>
      </c>
      <c r="AG99" s="1">
        <v>27</v>
      </c>
      <c r="AH99" s="1">
        <v>35</v>
      </c>
      <c r="AI99" s="1">
        <v>10</v>
      </c>
      <c r="AJ99">
        <v>72</v>
      </c>
    </row>
    <row r="100" spans="1:36" x14ac:dyDescent="0.15">
      <c r="A100">
        <v>73</v>
      </c>
      <c r="B100" s="1">
        <f t="shared" ref="B100:B106" si="202">O100</f>
        <v>267</v>
      </c>
      <c r="C100" s="1">
        <f t="shared" ref="C100:C106" si="203">P100</f>
        <v>347</v>
      </c>
      <c r="D100" s="1">
        <f t="shared" ref="D100:D106" si="204">Q100</f>
        <v>231</v>
      </c>
      <c r="E100" s="1">
        <f t="shared" ref="E100:E106" si="205">R100</f>
        <v>300</v>
      </c>
      <c r="F100" s="1">
        <f t="shared" ref="F100:F106" si="206">S100+Y100+AA100+AE100</f>
        <v>246</v>
      </c>
      <c r="G100" s="1">
        <f t="shared" ref="G100:G106" si="207">T100+Z100+AB100+AF100</f>
        <v>318</v>
      </c>
      <c r="H100">
        <f t="shared" ref="H100:H106" si="208">W100</f>
        <v>93</v>
      </c>
      <c r="I100">
        <f t="shared" ref="I100:I106" si="209">X100</f>
        <v>120</v>
      </c>
      <c r="J100">
        <f t="shared" ref="J100:J106" si="210">AC100</f>
        <v>157</v>
      </c>
      <c r="K100">
        <f t="shared" ref="K100:K106" si="211">AD100</f>
        <v>204</v>
      </c>
      <c r="L100">
        <f t="shared" ref="L100:L106" si="212">AG100</f>
        <v>27</v>
      </c>
      <c r="M100">
        <f t="shared" ref="M100:M106" si="213">AH100</f>
        <v>35</v>
      </c>
      <c r="N100">
        <f t="shared" ref="N100:N106" si="214">V100</f>
        <v>102</v>
      </c>
      <c r="O100" s="1">
        <v>267</v>
      </c>
      <c r="P100" s="1">
        <v>347</v>
      </c>
      <c r="Q100" s="1">
        <v>231</v>
      </c>
      <c r="R100" s="1">
        <v>300</v>
      </c>
      <c r="S100" s="1">
        <v>42</v>
      </c>
      <c r="T100" s="1">
        <v>54</v>
      </c>
      <c r="U100" s="1">
        <v>78</v>
      </c>
      <c r="V100" s="1">
        <v>102</v>
      </c>
      <c r="W100" s="1">
        <v>93</v>
      </c>
      <c r="X100" s="1">
        <v>120</v>
      </c>
      <c r="Y100" s="1">
        <v>120</v>
      </c>
      <c r="Z100" s="1">
        <v>156</v>
      </c>
      <c r="AA100" s="1">
        <v>42</v>
      </c>
      <c r="AB100" s="1">
        <v>54</v>
      </c>
      <c r="AC100" s="1">
        <v>157</v>
      </c>
      <c r="AD100" s="1">
        <v>204</v>
      </c>
      <c r="AE100" s="1">
        <v>42</v>
      </c>
      <c r="AF100" s="1">
        <v>54</v>
      </c>
      <c r="AG100" s="1">
        <v>27</v>
      </c>
      <c r="AH100" s="1">
        <v>35</v>
      </c>
      <c r="AI100" s="1">
        <v>10</v>
      </c>
      <c r="AJ100">
        <v>73</v>
      </c>
    </row>
    <row r="101" spans="1:36" x14ac:dyDescent="0.15">
      <c r="A101">
        <v>74</v>
      </c>
      <c r="B101" s="1">
        <f t="shared" si="202"/>
        <v>267</v>
      </c>
      <c r="C101" s="1">
        <f t="shared" si="203"/>
        <v>347</v>
      </c>
      <c r="D101" s="1">
        <f t="shared" si="204"/>
        <v>231</v>
      </c>
      <c r="E101" s="1">
        <f t="shared" si="205"/>
        <v>300</v>
      </c>
      <c r="F101" s="1">
        <f t="shared" si="206"/>
        <v>246</v>
      </c>
      <c r="G101" s="1">
        <f t="shared" si="207"/>
        <v>318</v>
      </c>
      <c r="H101">
        <f t="shared" si="208"/>
        <v>93</v>
      </c>
      <c r="I101">
        <f t="shared" si="209"/>
        <v>120</v>
      </c>
      <c r="J101">
        <f t="shared" si="210"/>
        <v>157</v>
      </c>
      <c r="K101">
        <f t="shared" si="211"/>
        <v>204</v>
      </c>
      <c r="L101">
        <f t="shared" si="212"/>
        <v>27</v>
      </c>
      <c r="M101">
        <f t="shared" si="213"/>
        <v>35</v>
      </c>
      <c r="N101">
        <f t="shared" si="214"/>
        <v>102</v>
      </c>
      <c r="O101" s="1">
        <v>267</v>
      </c>
      <c r="P101" s="1">
        <v>347</v>
      </c>
      <c r="Q101" s="1">
        <v>231</v>
      </c>
      <c r="R101" s="1">
        <v>300</v>
      </c>
      <c r="S101" s="1">
        <v>42</v>
      </c>
      <c r="T101" s="1">
        <v>54</v>
      </c>
      <c r="U101" s="1">
        <v>78</v>
      </c>
      <c r="V101" s="1">
        <v>102</v>
      </c>
      <c r="W101" s="1">
        <v>93</v>
      </c>
      <c r="X101" s="1">
        <v>120</v>
      </c>
      <c r="Y101" s="1">
        <v>120</v>
      </c>
      <c r="Z101" s="1">
        <v>156</v>
      </c>
      <c r="AA101" s="1">
        <v>42</v>
      </c>
      <c r="AB101" s="1">
        <v>54</v>
      </c>
      <c r="AC101" s="1">
        <v>157</v>
      </c>
      <c r="AD101" s="1">
        <v>204</v>
      </c>
      <c r="AE101" s="1">
        <v>42</v>
      </c>
      <c r="AF101" s="1">
        <v>54</v>
      </c>
      <c r="AG101" s="1">
        <v>27</v>
      </c>
      <c r="AH101" s="1">
        <v>35</v>
      </c>
      <c r="AI101" s="1">
        <v>10</v>
      </c>
      <c r="AJ101">
        <v>74</v>
      </c>
    </row>
    <row r="102" spans="1:36" x14ac:dyDescent="0.15">
      <c r="A102">
        <v>75</v>
      </c>
      <c r="B102" s="1">
        <f t="shared" si="202"/>
        <v>267</v>
      </c>
      <c r="C102" s="1">
        <f t="shared" si="203"/>
        <v>347</v>
      </c>
      <c r="D102" s="1">
        <f t="shared" si="204"/>
        <v>231</v>
      </c>
      <c r="E102" s="1">
        <f t="shared" si="205"/>
        <v>300</v>
      </c>
      <c r="F102" s="1">
        <f t="shared" si="206"/>
        <v>246</v>
      </c>
      <c r="G102" s="1">
        <f t="shared" si="207"/>
        <v>318</v>
      </c>
      <c r="H102">
        <f t="shared" si="208"/>
        <v>93</v>
      </c>
      <c r="I102">
        <f t="shared" si="209"/>
        <v>120</v>
      </c>
      <c r="J102">
        <f t="shared" si="210"/>
        <v>157</v>
      </c>
      <c r="K102">
        <f t="shared" si="211"/>
        <v>204</v>
      </c>
      <c r="L102">
        <f t="shared" si="212"/>
        <v>27</v>
      </c>
      <c r="M102">
        <f t="shared" si="213"/>
        <v>35</v>
      </c>
      <c r="N102">
        <f t="shared" si="214"/>
        <v>102</v>
      </c>
      <c r="O102" s="1">
        <v>267</v>
      </c>
      <c r="P102" s="1">
        <v>347</v>
      </c>
      <c r="Q102" s="1">
        <v>231</v>
      </c>
      <c r="R102" s="1">
        <v>300</v>
      </c>
      <c r="S102" s="1">
        <v>42</v>
      </c>
      <c r="T102" s="1">
        <v>54</v>
      </c>
      <c r="U102" s="1">
        <v>78</v>
      </c>
      <c r="V102" s="1">
        <v>102</v>
      </c>
      <c r="W102" s="1">
        <v>93</v>
      </c>
      <c r="X102" s="1">
        <v>120</v>
      </c>
      <c r="Y102" s="1">
        <v>120</v>
      </c>
      <c r="Z102" s="1">
        <v>156</v>
      </c>
      <c r="AA102" s="1">
        <v>42</v>
      </c>
      <c r="AB102" s="1">
        <v>54</v>
      </c>
      <c r="AC102" s="1">
        <v>157</v>
      </c>
      <c r="AD102" s="1">
        <v>204</v>
      </c>
      <c r="AE102" s="1">
        <v>42</v>
      </c>
      <c r="AF102" s="1">
        <v>54</v>
      </c>
      <c r="AG102" s="1">
        <v>27</v>
      </c>
      <c r="AH102" s="1">
        <v>35</v>
      </c>
      <c r="AI102" s="1">
        <v>11</v>
      </c>
      <c r="AJ102">
        <v>75</v>
      </c>
    </row>
    <row r="103" spans="1:36" x14ac:dyDescent="0.15">
      <c r="A103">
        <v>76</v>
      </c>
      <c r="B103" s="1">
        <f t="shared" si="202"/>
        <v>267</v>
      </c>
      <c r="C103" s="1">
        <f t="shared" si="203"/>
        <v>347</v>
      </c>
      <c r="D103" s="1">
        <f t="shared" si="204"/>
        <v>231</v>
      </c>
      <c r="E103" s="1">
        <f t="shared" si="205"/>
        <v>300</v>
      </c>
      <c r="F103" s="1">
        <f t="shared" si="206"/>
        <v>246</v>
      </c>
      <c r="G103" s="1">
        <f t="shared" si="207"/>
        <v>318</v>
      </c>
      <c r="H103">
        <f t="shared" si="208"/>
        <v>93</v>
      </c>
      <c r="I103">
        <f t="shared" si="209"/>
        <v>120</v>
      </c>
      <c r="J103">
        <f t="shared" si="210"/>
        <v>157</v>
      </c>
      <c r="K103">
        <f t="shared" si="211"/>
        <v>204</v>
      </c>
      <c r="L103">
        <f t="shared" si="212"/>
        <v>27</v>
      </c>
      <c r="M103">
        <f t="shared" si="213"/>
        <v>35</v>
      </c>
      <c r="N103">
        <f t="shared" si="214"/>
        <v>102</v>
      </c>
      <c r="O103" s="1">
        <v>267</v>
      </c>
      <c r="P103" s="1">
        <v>347</v>
      </c>
      <c r="Q103" s="1">
        <v>231</v>
      </c>
      <c r="R103" s="1">
        <v>300</v>
      </c>
      <c r="S103" s="1">
        <v>42</v>
      </c>
      <c r="T103" s="1">
        <v>54</v>
      </c>
      <c r="U103" s="1">
        <v>78</v>
      </c>
      <c r="V103" s="1">
        <v>102</v>
      </c>
      <c r="W103" s="1">
        <v>93</v>
      </c>
      <c r="X103" s="1">
        <v>120</v>
      </c>
      <c r="Y103" s="1">
        <v>120</v>
      </c>
      <c r="Z103" s="1">
        <v>156</v>
      </c>
      <c r="AA103" s="1">
        <v>42</v>
      </c>
      <c r="AB103" s="1">
        <v>54</v>
      </c>
      <c r="AC103" s="1">
        <v>157</v>
      </c>
      <c r="AD103" s="1">
        <v>204</v>
      </c>
      <c r="AE103" s="1">
        <v>42</v>
      </c>
      <c r="AF103" s="1">
        <v>54</v>
      </c>
      <c r="AG103" s="1">
        <v>27</v>
      </c>
      <c r="AH103" s="1">
        <v>35</v>
      </c>
      <c r="AI103" s="1">
        <v>11</v>
      </c>
      <c r="AJ103">
        <v>76</v>
      </c>
    </row>
    <row r="104" spans="1:36" x14ac:dyDescent="0.15">
      <c r="A104">
        <v>77</v>
      </c>
      <c r="B104" s="1">
        <f t="shared" si="202"/>
        <v>267</v>
      </c>
      <c r="C104" s="1">
        <f t="shared" si="203"/>
        <v>347</v>
      </c>
      <c r="D104" s="1">
        <f t="shared" si="204"/>
        <v>231</v>
      </c>
      <c r="E104" s="1">
        <f t="shared" si="205"/>
        <v>300</v>
      </c>
      <c r="F104" s="1">
        <f t="shared" si="206"/>
        <v>246</v>
      </c>
      <c r="G104" s="1">
        <f t="shared" si="207"/>
        <v>318</v>
      </c>
      <c r="H104">
        <f t="shared" si="208"/>
        <v>93</v>
      </c>
      <c r="I104">
        <f t="shared" si="209"/>
        <v>120</v>
      </c>
      <c r="J104">
        <f t="shared" si="210"/>
        <v>157</v>
      </c>
      <c r="K104">
        <f t="shared" si="211"/>
        <v>204</v>
      </c>
      <c r="L104">
        <f t="shared" si="212"/>
        <v>27</v>
      </c>
      <c r="M104">
        <f t="shared" si="213"/>
        <v>35</v>
      </c>
      <c r="N104">
        <f t="shared" si="214"/>
        <v>102</v>
      </c>
      <c r="O104" s="1">
        <v>267</v>
      </c>
      <c r="P104" s="1">
        <v>347</v>
      </c>
      <c r="Q104" s="1">
        <v>231</v>
      </c>
      <c r="R104" s="1">
        <v>300</v>
      </c>
      <c r="S104" s="1">
        <v>42</v>
      </c>
      <c r="T104" s="1">
        <v>54</v>
      </c>
      <c r="U104" s="1">
        <v>78</v>
      </c>
      <c r="V104" s="1">
        <v>102</v>
      </c>
      <c r="W104" s="1">
        <v>93</v>
      </c>
      <c r="X104" s="1">
        <v>120</v>
      </c>
      <c r="Y104" s="1">
        <v>120</v>
      </c>
      <c r="Z104" s="1">
        <v>156</v>
      </c>
      <c r="AA104" s="1">
        <v>42</v>
      </c>
      <c r="AB104" s="1">
        <v>54</v>
      </c>
      <c r="AC104" s="1">
        <v>157</v>
      </c>
      <c r="AD104" s="1">
        <v>204</v>
      </c>
      <c r="AE104" s="1">
        <v>42</v>
      </c>
      <c r="AF104" s="1">
        <v>54</v>
      </c>
      <c r="AG104" s="1">
        <v>27</v>
      </c>
      <c r="AH104" s="1">
        <v>35</v>
      </c>
      <c r="AI104" s="1">
        <v>11</v>
      </c>
      <c r="AJ104">
        <v>77</v>
      </c>
    </row>
    <row r="105" spans="1:36" x14ac:dyDescent="0.15">
      <c r="A105">
        <v>78</v>
      </c>
      <c r="B105" s="1">
        <f t="shared" si="202"/>
        <v>267</v>
      </c>
      <c r="C105" s="1">
        <f t="shared" si="203"/>
        <v>347</v>
      </c>
      <c r="D105" s="1">
        <f t="shared" si="204"/>
        <v>231</v>
      </c>
      <c r="E105" s="1">
        <f t="shared" si="205"/>
        <v>300</v>
      </c>
      <c r="F105" s="1">
        <f t="shared" si="206"/>
        <v>246</v>
      </c>
      <c r="G105" s="1">
        <f t="shared" si="207"/>
        <v>318</v>
      </c>
      <c r="H105">
        <f t="shared" si="208"/>
        <v>93</v>
      </c>
      <c r="I105">
        <f t="shared" si="209"/>
        <v>120</v>
      </c>
      <c r="J105">
        <f t="shared" si="210"/>
        <v>157</v>
      </c>
      <c r="K105">
        <f t="shared" si="211"/>
        <v>204</v>
      </c>
      <c r="L105">
        <f t="shared" si="212"/>
        <v>27</v>
      </c>
      <c r="M105">
        <f t="shared" si="213"/>
        <v>35</v>
      </c>
      <c r="N105">
        <f t="shared" si="214"/>
        <v>102</v>
      </c>
      <c r="O105" s="1">
        <v>267</v>
      </c>
      <c r="P105" s="1">
        <v>347</v>
      </c>
      <c r="Q105" s="1">
        <v>231</v>
      </c>
      <c r="R105" s="1">
        <v>300</v>
      </c>
      <c r="S105" s="1">
        <v>42</v>
      </c>
      <c r="T105" s="1">
        <v>54</v>
      </c>
      <c r="U105" s="1">
        <v>78</v>
      </c>
      <c r="V105" s="1">
        <v>102</v>
      </c>
      <c r="W105" s="1">
        <v>93</v>
      </c>
      <c r="X105" s="1">
        <v>120</v>
      </c>
      <c r="Y105" s="1">
        <v>120</v>
      </c>
      <c r="Z105" s="1">
        <v>156</v>
      </c>
      <c r="AA105" s="1">
        <v>42</v>
      </c>
      <c r="AB105" s="1">
        <v>54</v>
      </c>
      <c r="AC105" s="1">
        <v>157</v>
      </c>
      <c r="AD105" s="1">
        <v>204</v>
      </c>
      <c r="AE105" s="1">
        <v>42</v>
      </c>
      <c r="AF105" s="1">
        <v>54</v>
      </c>
      <c r="AG105" s="1">
        <v>27</v>
      </c>
      <c r="AH105" s="1">
        <v>35</v>
      </c>
      <c r="AI105" s="1">
        <v>11</v>
      </c>
      <c r="AJ105">
        <v>78</v>
      </c>
    </row>
    <row r="106" spans="1:36" x14ac:dyDescent="0.15">
      <c r="A106">
        <v>79</v>
      </c>
      <c r="B106" s="1">
        <f t="shared" si="202"/>
        <v>267</v>
      </c>
      <c r="C106" s="1">
        <f t="shared" si="203"/>
        <v>347</v>
      </c>
      <c r="D106" s="1">
        <f t="shared" si="204"/>
        <v>231</v>
      </c>
      <c r="E106" s="1">
        <f t="shared" si="205"/>
        <v>300</v>
      </c>
      <c r="F106" s="1">
        <f t="shared" si="206"/>
        <v>246</v>
      </c>
      <c r="G106" s="1">
        <f t="shared" si="207"/>
        <v>318</v>
      </c>
      <c r="H106">
        <f t="shared" si="208"/>
        <v>93</v>
      </c>
      <c r="I106">
        <f t="shared" si="209"/>
        <v>120</v>
      </c>
      <c r="J106">
        <f t="shared" si="210"/>
        <v>157</v>
      </c>
      <c r="K106">
        <f t="shared" si="211"/>
        <v>204</v>
      </c>
      <c r="L106">
        <f t="shared" si="212"/>
        <v>27</v>
      </c>
      <c r="M106">
        <f t="shared" si="213"/>
        <v>35</v>
      </c>
      <c r="N106">
        <f t="shared" si="214"/>
        <v>102</v>
      </c>
      <c r="O106" s="1">
        <v>267</v>
      </c>
      <c r="P106" s="1">
        <v>347</v>
      </c>
      <c r="Q106" s="1">
        <v>231</v>
      </c>
      <c r="R106" s="1">
        <v>300</v>
      </c>
      <c r="S106" s="1">
        <v>42</v>
      </c>
      <c r="T106" s="1">
        <v>54</v>
      </c>
      <c r="U106" s="1">
        <v>78</v>
      </c>
      <c r="V106" s="1">
        <v>102</v>
      </c>
      <c r="W106" s="1">
        <v>93</v>
      </c>
      <c r="X106" s="1">
        <v>120</v>
      </c>
      <c r="Y106" s="1">
        <v>120</v>
      </c>
      <c r="Z106" s="1">
        <v>156</v>
      </c>
      <c r="AA106" s="1">
        <v>42</v>
      </c>
      <c r="AB106" s="1">
        <v>54</v>
      </c>
      <c r="AC106" s="1">
        <v>157</v>
      </c>
      <c r="AD106" s="1">
        <v>204</v>
      </c>
      <c r="AE106" s="1">
        <v>42</v>
      </c>
      <c r="AF106" s="1">
        <v>54</v>
      </c>
      <c r="AG106" s="1">
        <v>27</v>
      </c>
      <c r="AH106" s="1">
        <v>35</v>
      </c>
      <c r="AI106" s="1">
        <v>11</v>
      </c>
      <c r="AJ106">
        <v>79</v>
      </c>
    </row>
    <row r="107" spans="1:36" x14ac:dyDescent="0.15">
      <c r="A107">
        <v>80</v>
      </c>
      <c r="B107" s="1">
        <f t="shared" si="20"/>
        <v>304</v>
      </c>
      <c r="C107" s="1">
        <f t="shared" si="21"/>
        <v>395</v>
      </c>
      <c r="D107" s="1">
        <f t="shared" si="22"/>
        <v>262</v>
      </c>
      <c r="E107" s="1">
        <f t="shared" si="23"/>
        <v>341</v>
      </c>
      <c r="F107" s="1">
        <f t="shared" si="24"/>
        <v>277</v>
      </c>
      <c r="G107" s="1">
        <f t="shared" si="25"/>
        <v>358</v>
      </c>
      <c r="H107">
        <f t="shared" si="26"/>
        <v>106</v>
      </c>
      <c r="I107">
        <f t="shared" si="27"/>
        <v>137</v>
      </c>
      <c r="J107">
        <f t="shared" si="28"/>
        <v>178</v>
      </c>
      <c r="K107">
        <f t="shared" si="29"/>
        <v>232</v>
      </c>
      <c r="L107">
        <f t="shared" si="30"/>
        <v>30</v>
      </c>
      <c r="M107">
        <f t="shared" si="31"/>
        <v>39</v>
      </c>
      <c r="N107">
        <f t="shared" si="32"/>
        <v>116</v>
      </c>
      <c r="O107" s="1">
        <v>304</v>
      </c>
      <c r="P107" s="1">
        <v>395</v>
      </c>
      <c r="Q107" s="1">
        <v>262</v>
      </c>
      <c r="R107" s="1">
        <v>341</v>
      </c>
      <c r="S107" s="1">
        <v>47</v>
      </c>
      <c r="T107" s="1">
        <v>60</v>
      </c>
      <c r="U107" s="1">
        <v>89</v>
      </c>
      <c r="V107" s="1">
        <v>116</v>
      </c>
      <c r="W107" s="1">
        <v>106</v>
      </c>
      <c r="X107" s="1">
        <v>137</v>
      </c>
      <c r="Y107" s="1">
        <v>136</v>
      </c>
      <c r="Z107" s="1">
        <v>177</v>
      </c>
      <c r="AA107" s="1">
        <v>47</v>
      </c>
      <c r="AB107" s="1">
        <v>61</v>
      </c>
      <c r="AC107" s="1">
        <v>178</v>
      </c>
      <c r="AD107" s="1">
        <v>232</v>
      </c>
      <c r="AE107" s="1">
        <v>47</v>
      </c>
      <c r="AF107" s="1">
        <v>60</v>
      </c>
      <c r="AG107" s="1">
        <v>30</v>
      </c>
      <c r="AH107" s="1">
        <v>39</v>
      </c>
      <c r="AI107" s="1">
        <v>12</v>
      </c>
      <c r="AJ107">
        <v>80</v>
      </c>
    </row>
    <row r="108" spans="1:36" x14ac:dyDescent="0.15">
      <c r="A108">
        <v>81</v>
      </c>
      <c r="B108" s="1">
        <f t="shared" ref="B108:B109" si="215">O108</f>
        <v>304</v>
      </c>
      <c r="C108" s="1">
        <f t="shared" ref="C108:C109" si="216">P108</f>
        <v>395</v>
      </c>
      <c r="D108" s="1">
        <f t="shared" ref="D108:D109" si="217">Q108</f>
        <v>262</v>
      </c>
      <c r="E108" s="1">
        <f t="shared" ref="E108:E109" si="218">R108</f>
        <v>341</v>
      </c>
      <c r="F108" s="1">
        <f t="shared" ref="F108:F109" si="219">S108+Y108+AA108+AE108</f>
        <v>277</v>
      </c>
      <c r="G108" s="1">
        <f t="shared" ref="G108:G109" si="220">T108+Z108+AB108+AF108</f>
        <v>358</v>
      </c>
      <c r="H108">
        <f t="shared" ref="H108:H109" si="221">W108</f>
        <v>106</v>
      </c>
      <c r="I108">
        <f t="shared" ref="I108:I109" si="222">X108</f>
        <v>137</v>
      </c>
      <c r="J108">
        <f t="shared" ref="J108:J109" si="223">AC108</f>
        <v>178</v>
      </c>
      <c r="K108">
        <f t="shared" ref="K108:K109" si="224">AD108</f>
        <v>232</v>
      </c>
      <c r="L108">
        <f t="shared" ref="L108:L109" si="225">AG108</f>
        <v>30</v>
      </c>
      <c r="M108">
        <f t="shared" ref="M108:M109" si="226">AH108</f>
        <v>39</v>
      </c>
      <c r="N108">
        <f t="shared" ref="N108:N109" si="227">V108</f>
        <v>116</v>
      </c>
      <c r="O108" s="1">
        <v>304</v>
      </c>
      <c r="P108" s="1">
        <v>395</v>
      </c>
      <c r="Q108" s="1">
        <v>262</v>
      </c>
      <c r="R108" s="1">
        <v>341</v>
      </c>
      <c r="S108" s="1">
        <v>47</v>
      </c>
      <c r="T108" s="1">
        <v>60</v>
      </c>
      <c r="U108" s="1">
        <v>89</v>
      </c>
      <c r="V108" s="1">
        <v>116</v>
      </c>
      <c r="W108" s="1">
        <v>106</v>
      </c>
      <c r="X108" s="1">
        <v>137</v>
      </c>
      <c r="Y108" s="1">
        <v>136</v>
      </c>
      <c r="Z108" s="1">
        <v>177</v>
      </c>
      <c r="AA108" s="1">
        <v>47</v>
      </c>
      <c r="AB108" s="1">
        <v>61</v>
      </c>
      <c r="AC108" s="1">
        <v>178</v>
      </c>
      <c r="AD108" s="1">
        <v>232</v>
      </c>
      <c r="AE108" s="1">
        <v>47</v>
      </c>
      <c r="AF108" s="1">
        <v>60</v>
      </c>
      <c r="AG108" s="1">
        <v>30</v>
      </c>
      <c r="AH108" s="1">
        <v>39</v>
      </c>
      <c r="AI108" s="1">
        <v>12</v>
      </c>
      <c r="AJ108">
        <v>81</v>
      </c>
    </row>
    <row r="109" spans="1:36" x14ac:dyDescent="0.15">
      <c r="A109">
        <v>82</v>
      </c>
      <c r="B109" s="1">
        <f t="shared" si="215"/>
        <v>304</v>
      </c>
      <c r="C109" s="1">
        <f t="shared" si="216"/>
        <v>395</v>
      </c>
      <c r="D109" s="1">
        <f t="shared" si="217"/>
        <v>262</v>
      </c>
      <c r="E109" s="1">
        <f t="shared" si="218"/>
        <v>341</v>
      </c>
      <c r="F109" s="1">
        <f t="shared" si="219"/>
        <v>277</v>
      </c>
      <c r="G109" s="1">
        <f t="shared" si="220"/>
        <v>358</v>
      </c>
      <c r="H109">
        <f t="shared" si="221"/>
        <v>106</v>
      </c>
      <c r="I109">
        <f t="shared" si="222"/>
        <v>137</v>
      </c>
      <c r="J109">
        <f t="shared" si="223"/>
        <v>178</v>
      </c>
      <c r="K109">
        <f t="shared" si="224"/>
        <v>232</v>
      </c>
      <c r="L109">
        <f t="shared" si="225"/>
        <v>30</v>
      </c>
      <c r="M109">
        <f t="shared" si="226"/>
        <v>39</v>
      </c>
      <c r="N109">
        <f t="shared" si="227"/>
        <v>116</v>
      </c>
      <c r="O109" s="1">
        <v>304</v>
      </c>
      <c r="P109" s="1">
        <v>395</v>
      </c>
      <c r="Q109" s="1">
        <v>262</v>
      </c>
      <c r="R109" s="1">
        <v>341</v>
      </c>
      <c r="S109" s="1">
        <v>47</v>
      </c>
      <c r="T109" s="1">
        <v>60</v>
      </c>
      <c r="U109" s="1">
        <v>89</v>
      </c>
      <c r="V109" s="1">
        <v>116</v>
      </c>
      <c r="W109" s="1">
        <v>106</v>
      </c>
      <c r="X109" s="1">
        <v>137</v>
      </c>
      <c r="Y109" s="1">
        <v>136</v>
      </c>
      <c r="Z109" s="1">
        <v>177</v>
      </c>
      <c r="AA109" s="1">
        <v>47</v>
      </c>
      <c r="AB109" s="1">
        <v>61</v>
      </c>
      <c r="AC109" s="1">
        <v>178</v>
      </c>
      <c r="AD109" s="1">
        <v>232</v>
      </c>
      <c r="AE109" s="1">
        <v>47</v>
      </c>
      <c r="AF109" s="1">
        <v>60</v>
      </c>
      <c r="AG109" s="1">
        <v>30</v>
      </c>
      <c r="AH109" s="1">
        <v>39</v>
      </c>
      <c r="AI109" s="1">
        <v>12</v>
      </c>
      <c r="AJ109">
        <v>82</v>
      </c>
    </row>
    <row r="110" spans="1:36" x14ac:dyDescent="0.15">
      <c r="A110">
        <v>83</v>
      </c>
      <c r="B110" s="1">
        <f t="shared" ref="B110:B116" si="228">O110</f>
        <v>304</v>
      </c>
      <c r="C110" s="1">
        <f t="shared" ref="C110:C116" si="229">P110</f>
        <v>395</v>
      </c>
      <c r="D110" s="1">
        <f t="shared" ref="D110:D116" si="230">Q110</f>
        <v>262</v>
      </c>
      <c r="E110" s="1">
        <f t="shared" ref="E110:E116" si="231">R110</f>
        <v>341</v>
      </c>
      <c r="F110" s="1">
        <f t="shared" ref="F110:F116" si="232">S110+Y110+AA110+AE110</f>
        <v>277</v>
      </c>
      <c r="G110" s="1">
        <f t="shared" ref="G110:G116" si="233">T110+Z110+AB110+AF110</f>
        <v>358</v>
      </c>
      <c r="H110">
        <f t="shared" ref="H110:H116" si="234">W110</f>
        <v>106</v>
      </c>
      <c r="I110">
        <f t="shared" ref="I110:I116" si="235">X110</f>
        <v>137</v>
      </c>
      <c r="J110">
        <f t="shared" ref="J110:J116" si="236">AC110</f>
        <v>178</v>
      </c>
      <c r="K110">
        <f t="shared" ref="K110:K116" si="237">AD110</f>
        <v>232</v>
      </c>
      <c r="L110">
        <f t="shared" ref="L110:L116" si="238">AG110</f>
        <v>30</v>
      </c>
      <c r="M110">
        <f t="shared" ref="M110:M116" si="239">AH110</f>
        <v>39</v>
      </c>
      <c r="N110">
        <f t="shared" ref="N110:N116" si="240">V110</f>
        <v>116</v>
      </c>
      <c r="O110" s="1">
        <v>304</v>
      </c>
      <c r="P110" s="1">
        <v>395</v>
      </c>
      <c r="Q110" s="1">
        <v>262</v>
      </c>
      <c r="R110" s="1">
        <v>341</v>
      </c>
      <c r="S110" s="1">
        <v>47</v>
      </c>
      <c r="T110" s="1">
        <v>60</v>
      </c>
      <c r="U110" s="1">
        <v>89</v>
      </c>
      <c r="V110" s="1">
        <v>116</v>
      </c>
      <c r="W110" s="1">
        <v>106</v>
      </c>
      <c r="X110" s="1">
        <v>137</v>
      </c>
      <c r="Y110" s="1">
        <v>136</v>
      </c>
      <c r="Z110" s="1">
        <v>177</v>
      </c>
      <c r="AA110" s="1">
        <v>47</v>
      </c>
      <c r="AB110" s="1">
        <v>61</v>
      </c>
      <c r="AC110" s="1">
        <v>178</v>
      </c>
      <c r="AD110" s="1">
        <v>232</v>
      </c>
      <c r="AE110" s="1">
        <v>47</v>
      </c>
      <c r="AF110" s="1">
        <v>60</v>
      </c>
      <c r="AG110" s="1">
        <v>30</v>
      </c>
      <c r="AH110" s="1">
        <v>39</v>
      </c>
      <c r="AI110" s="1">
        <v>12</v>
      </c>
      <c r="AJ110">
        <v>83</v>
      </c>
    </row>
    <row r="111" spans="1:36" x14ac:dyDescent="0.15">
      <c r="A111">
        <v>84</v>
      </c>
      <c r="B111" s="1">
        <f t="shared" si="228"/>
        <v>304</v>
      </c>
      <c r="C111" s="1">
        <f t="shared" si="229"/>
        <v>395</v>
      </c>
      <c r="D111" s="1">
        <f t="shared" si="230"/>
        <v>262</v>
      </c>
      <c r="E111" s="1">
        <f t="shared" si="231"/>
        <v>341</v>
      </c>
      <c r="F111" s="1">
        <f t="shared" si="232"/>
        <v>277</v>
      </c>
      <c r="G111" s="1">
        <f t="shared" si="233"/>
        <v>358</v>
      </c>
      <c r="H111">
        <f t="shared" si="234"/>
        <v>106</v>
      </c>
      <c r="I111">
        <f t="shared" si="235"/>
        <v>137</v>
      </c>
      <c r="J111">
        <f t="shared" si="236"/>
        <v>178</v>
      </c>
      <c r="K111">
        <f t="shared" si="237"/>
        <v>232</v>
      </c>
      <c r="L111">
        <f t="shared" si="238"/>
        <v>30</v>
      </c>
      <c r="M111">
        <f t="shared" si="239"/>
        <v>39</v>
      </c>
      <c r="N111">
        <f t="shared" si="240"/>
        <v>116</v>
      </c>
      <c r="O111" s="1">
        <v>304</v>
      </c>
      <c r="P111" s="1">
        <v>395</v>
      </c>
      <c r="Q111" s="1">
        <v>262</v>
      </c>
      <c r="R111" s="1">
        <v>341</v>
      </c>
      <c r="S111" s="1">
        <v>47</v>
      </c>
      <c r="T111" s="1">
        <v>60</v>
      </c>
      <c r="U111" s="1">
        <v>89</v>
      </c>
      <c r="V111" s="1">
        <v>116</v>
      </c>
      <c r="W111" s="1">
        <v>106</v>
      </c>
      <c r="X111" s="1">
        <v>137</v>
      </c>
      <c r="Y111" s="1">
        <v>136</v>
      </c>
      <c r="Z111" s="1">
        <v>177</v>
      </c>
      <c r="AA111" s="1">
        <v>47</v>
      </c>
      <c r="AB111" s="1">
        <v>61</v>
      </c>
      <c r="AC111" s="1">
        <v>178</v>
      </c>
      <c r="AD111" s="1">
        <v>232</v>
      </c>
      <c r="AE111" s="1">
        <v>47</v>
      </c>
      <c r="AF111" s="1">
        <v>60</v>
      </c>
      <c r="AG111" s="1">
        <v>30</v>
      </c>
      <c r="AH111" s="1">
        <v>39</v>
      </c>
      <c r="AI111" s="1">
        <v>12</v>
      </c>
      <c r="AJ111">
        <v>84</v>
      </c>
    </row>
    <row r="112" spans="1:36" x14ac:dyDescent="0.15">
      <c r="A112">
        <v>85</v>
      </c>
      <c r="B112" s="1">
        <f t="shared" si="228"/>
        <v>304</v>
      </c>
      <c r="C112" s="1">
        <f t="shared" si="229"/>
        <v>395</v>
      </c>
      <c r="D112" s="1">
        <f t="shared" si="230"/>
        <v>262</v>
      </c>
      <c r="E112" s="1">
        <f t="shared" si="231"/>
        <v>341</v>
      </c>
      <c r="F112" s="1">
        <f t="shared" si="232"/>
        <v>277</v>
      </c>
      <c r="G112" s="1">
        <f t="shared" si="233"/>
        <v>358</v>
      </c>
      <c r="H112">
        <f t="shared" si="234"/>
        <v>106</v>
      </c>
      <c r="I112">
        <f t="shared" si="235"/>
        <v>137</v>
      </c>
      <c r="J112">
        <f t="shared" si="236"/>
        <v>178</v>
      </c>
      <c r="K112">
        <f t="shared" si="237"/>
        <v>232</v>
      </c>
      <c r="L112">
        <f t="shared" si="238"/>
        <v>30</v>
      </c>
      <c r="M112">
        <f t="shared" si="239"/>
        <v>39</v>
      </c>
      <c r="N112">
        <f t="shared" si="240"/>
        <v>116</v>
      </c>
      <c r="O112" s="1">
        <v>304</v>
      </c>
      <c r="P112" s="1">
        <v>395</v>
      </c>
      <c r="Q112" s="1">
        <v>262</v>
      </c>
      <c r="R112" s="1">
        <v>341</v>
      </c>
      <c r="S112" s="1">
        <v>47</v>
      </c>
      <c r="T112" s="1">
        <v>60</v>
      </c>
      <c r="U112" s="1">
        <v>89</v>
      </c>
      <c r="V112" s="1">
        <v>116</v>
      </c>
      <c r="W112" s="1">
        <v>106</v>
      </c>
      <c r="X112" s="1">
        <v>137</v>
      </c>
      <c r="Y112" s="1">
        <v>136</v>
      </c>
      <c r="Z112" s="1">
        <v>177</v>
      </c>
      <c r="AA112" s="1">
        <v>47</v>
      </c>
      <c r="AB112" s="1">
        <v>61</v>
      </c>
      <c r="AC112" s="1">
        <v>178</v>
      </c>
      <c r="AD112" s="1">
        <v>232</v>
      </c>
      <c r="AE112" s="1">
        <v>47</v>
      </c>
      <c r="AF112" s="1">
        <v>60</v>
      </c>
      <c r="AG112" s="1">
        <v>30</v>
      </c>
      <c r="AH112" s="1">
        <v>39</v>
      </c>
      <c r="AI112" s="1">
        <v>13</v>
      </c>
      <c r="AJ112">
        <v>85</v>
      </c>
    </row>
    <row r="113" spans="1:36" x14ac:dyDescent="0.15">
      <c r="A113">
        <v>86</v>
      </c>
      <c r="B113" s="1">
        <f t="shared" si="228"/>
        <v>304</v>
      </c>
      <c r="C113" s="1">
        <f t="shared" si="229"/>
        <v>395</v>
      </c>
      <c r="D113" s="1">
        <f t="shared" si="230"/>
        <v>262</v>
      </c>
      <c r="E113" s="1">
        <f t="shared" si="231"/>
        <v>341</v>
      </c>
      <c r="F113" s="1">
        <f t="shared" si="232"/>
        <v>277</v>
      </c>
      <c r="G113" s="1">
        <f t="shared" si="233"/>
        <v>358</v>
      </c>
      <c r="H113">
        <f t="shared" si="234"/>
        <v>106</v>
      </c>
      <c r="I113">
        <f t="shared" si="235"/>
        <v>137</v>
      </c>
      <c r="J113">
        <f t="shared" si="236"/>
        <v>178</v>
      </c>
      <c r="K113">
        <f t="shared" si="237"/>
        <v>232</v>
      </c>
      <c r="L113">
        <f t="shared" si="238"/>
        <v>30</v>
      </c>
      <c r="M113">
        <f t="shared" si="239"/>
        <v>39</v>
      </c>
      <c r="N113">
        <f t="shared" si="240"/>
        <v>116</v>
      </c>
      <c r="O113" s="1">
        <v>304</v>
      </c>
      <c r="P113" s="1">
        <v>395</v>
      </c>
      <c r="Q113" s="1">
        <v>262</v>
      </c>
      <c r="R113" s="1">
        <v>341</v>
      </c>
      <c r="S113" s="1">
        <v>47</v>
      </c>
      <c r="T113" s="1">
        <v>60</v>
      </c>
      <c r="U113" s="1">
        <v>89</v>
      </c>
      <c r="V113" s="1">
        <v>116</v>
      </c>
      <c r="W113" s="1">
        <v>106</v>
      </c>
      <c r="X113" s="1">
        <v>137</v>
      </c>
      <c r="Y113" s="1">
        <v>136</v>
      </c>
      <c r="Z113" s="1">
        <v>177</v>
      </c>
      <c r="AA113" s="1">
        <v>47</v>
      </c>
      <c r="AB113" s="1">
        <v>61</v>
      </c>
      <c r="AC113" s="1">
        <v>178</v>
      </c>
      <c r="AD113" s="1">
        <v>232</v>
      </c>
      <c r="AE113" s="1">
        <v>47</v>
      </c>
      <c r="AF113" s="1">
        <v>60</v>
      </c>
      <c r="AG113" s="1">
        <v>30</v>
      </c>
      <c r="AH113" s="1">
        <v>39</v>
      </c>
      <c r="AI113" s="1">
        <v>13</v>
      </c>
      <c r="AJ113">
        <v>86</v>
      </c>
    </row>
    <row r="114" spans="1:36" x14ac:dyDescent="0.15">
      <c r="A114">
        <v>87</v>
      </c>
      <c r="B114" s="1">
        <f t="shared" si="228"/>
        <v>304</v>
      </c>
      <c r="C114" s="1">
        <f t="shared" si="229"/>
        <v>395</v>
      </c>
      <c r="D114" s="1">
        <f t="shared" si="230"/>
        <v>262</v>
      </c>
      <c r="E114" s="1">
        <f t="shared" si="231"/>
        <v>341</v>
      </c>
      <c r="F114" s="1">
        <f t="shared" si="232"/>
        <v>277</v>
      </c>
      <c r="G114" s="1">
        <f t="shared" si="233"/>
        <v>358</v>
      </c>
      <c r="H114">
        <f t="shared" si="234"/>
        <v>106</v>
      </c>
      <c r="I114">
        <f t="shared" si="235"/>
        <v>137</v>
      </c>
      <c r="J114">
        <f t="shared" si="236"/>
        <v>178</v>
      </c>
      <c r="K114">
        <f t="shared" si="237"/>
        <v>232</v>
      </c>
      <c r="L114">
        <f t="shared" si="238"/>
        <v>30</v>
      </c>
      <c r="M114">
        <f t="shared" si="239"/>
        <v>39</v>
      </c>
      <c r="N114">
        <f t="shared" si="240"/>
        <v>116</v>
      </c>
      <c r="O114" s="1">
        <v>304</v>
      </c>
      <c r="P114" s="1">
        <v>395</v>
      </c>
      <c r="Q114" s="1">
        <v>262</v>
      </c>
      <c r="R114" s="1">
        <v>341</v>
      </c>
      <c r="S114" s="1">
        <v>47</v>
      </c>
      <c r="T114" s="1">
        <v>60</v>
      </c>
      <c r="U114" s="1">
        <v>89</v>
      </c>
      <c r="V114" s="1">
        <v>116</v>
      </c>
      <c r="W114" s="1">
        <v>106</v>
      </c>
      <c r="X114" s="1">
        <v>137</v>
      </c>
      <c r="Y114" s="1">
        <v>136</v>
      </c>
      <c r="Z114" s="1">
        <v>177</v>
      </c>
      <c r="AA114" s="1">
        <v>47</v>
      </c>
      <c r="AB114" s="1">
        <v>61</v>
      </c>
      <c r="AC114" s="1">
        <v>178</v>
      </c>
      <c r="AD114" s="1">
        <v>232</v>
      </c>
      <c r="AE114" s="1">
        <v>47</v>
      </c>
      <c r="AF114" s="1">
        <v>60</v>
      </c>
      <c r="AG114" s="1">
        <v>30</v>
      </c>
      <c r="AH114" s="1">
        <v>39</v>
      </c>
      <c r="AI114" s="1">
        <v>13</v>
      </c>
      <c r="AJ114">
        <v>87</v>
      </c>
    </row>
    <row r="115" spans="1:36" x14ac:dyDescent="0.15">
      <c r="A115">
        <v>88</v>
      </c>
      <c r="B115" s="1">
        <f t="shared" si="228"/>
        <v>304</v>
      </c>
      <c r="C115" s="1">
        <f t="shared" si="229"/>
        <v>395</v>
      </c>
      <c r="D115" s="1">
        <f t="shared" si="230"/>
        <v>262</v>
      </c>
      <c r="E115" s="1">
        <f t="shared" si="231"/>
        <v>341</v>
      </c>
      <c r="F115" s="1">
        <f t="shared" si="232"/>
        <v>277</v>
      </c>
      <c r="G115" s="1">
        <f t="shared" si="233"/>
        <v>358</v>
      </c>
      <c r="H115">
        <f t="shared" si="234"/>
        <v>106</v>
      </c>
      <c r="I115">
        <f t="shared" si="235"/>
        <v>137</v>
      </c>
      <c r="J115">
        <f t="shared" si="236"/>
        <v>178</v>
      </c>
      <c r="K115">
        <f t="shared" si="237"/>
        <v>232</v>
      </c>
      <c r="L115">
        <f t="shared" si="238"/>
        <v>30</v>
      </c>
      <c r="M115">
        <f t="shared" si="239"/>
        <v>39</v>
      </c>
      <c r="N115">
        <f t="shared" si="240"/>
        <v>116</v>
      </c>
      <c r="O115" s="1">
        <v>304</v>
      </c>
      <c r="P115" s="1">
        <v>395</v>
      </c>
      <c r="Q115" s="1">
        <v>262</v>
      </c>
      <c r="R115" s="1">
        <v>341</v>
      </c>
      <c r="S115" s="1">
        <v>47</v>
      </c>
      <c r="T115" s="1">
        <v>60</v>
      </c>
      <c r="U115" s="1">
        <v>89</v>
      </c>
      <c r="V115" s="1">
        <v>116</v>
      </c>
      <c r="W115" s="1">
        <v>106</v>
      </c>
      <c r="X115" s="1">
        <v>137</v>
      </c>
      <c r="Y115" s="1">
        <v>136</v>
      </c>
      <c r="Z115" s="1">
        <v>177</v>
      </c>
      <c r="AA115" s="1">
        <v>47</v>
      </c>
      <c r="AB115" s="1">
        <v>61</v>
      </c>
      <c r="AC115" s="1">
        <v>178</v>
      </c>
      <c r="AD115" s="1">
        <v>232</v>
      </c>
      <c r="AE115" s="1">
        <v>47</v>
      </c>
      <c r="AF115" s="1">
        <v>60</v>
      </c>
      <c r="AG115" s="1">
        <v>30</v>
      </c>
      <c r="AH115" s="1">
        <v>39</v>
      </c>
      <c r="AI115" s="1">
        <v>13</v>
      </c>
      <c r="AJ115">
        <v>88</v>
      </c>
    </row>
    <row r="116" spans="1:36" x14ac:dyDescent="0.15">
      <c r="A116">
        <v>89</v>
      </c>
      <c r="B116" s="1">
        <f t="shared" si="228"/>
        <v>304</v>
      </c>
      <c r="C116" s="1">
        <f t="shared" si="229"/>
        <v>395</v>
      </c>
      <c r="D116" s="1">
        <f t="shared" si="230"/>
        <v>262</v>
      </c>
      <c r="E116" s="1">
        <f t="shared" si="231"/>
        <v>341</v>
      </c>
      <c r="F116" s="1">
        <f t="shared" si="232"/>
        <v>277</v>
      </c>
      <c r="G116" s="1">
        <f t="shared" si="233"/>
        <v>358</v>
      </c>
      <c r="H116">
        <f t="shared" si="234"/>
        <v>106</v>
      </c>
      <c r="I116">
        <f t="shared" si="235"/>
        <v>137</v>
      </c>
      <c r="J116">
        <f t="shared" si="236"/>
        <v>178</v>
      </c>
      <c r="K116">
        <f t="shared" si="237"/>
        <v>232</v>
      </c>
      <c r="L116">
        <f t="shared" si="238"/>
        <v>30</v>
      </c>
      <c r="M116">
        <f t="shared" si="239"/>
        <v>39</v>
      </c>
      <c r="N116">
        <f t="shared" si="240"/>
        <v>116</v>
      </c>
      <c r="O116" s="1">
        <v>304</v>
      </c>
      <c r="P116" s="1">
        <v>395</v>
      </c>
      <c r="Q116" s="1">
        <v>262</v>
      </c>
      <c r="R116" s="1">
        <v>341</v>
      </c>
      <c r="S116" s="1">
        <v>47</v>
      </c>
      <c r="T116" s="1">
        <v>60</v>
      </c>
      <c r="U116" s="1">
        <v>89</v>
      </c>
      <c r="V116" s="1">
        <v>116</v>
      </c>
      <c r="W116" s="1">
        <v>106</v>
      </c>
      <c r="X116" s="1">
        <v>137</v>
      </c>
      <c r="Y116" s="1">
        <v>136</v>
      </c>
      <c r="Z116" s="1">
        <v>177</v>
      </c>
      <c r="AA116" s="1">
        <v>47</v>
      </c>
      <c r="AB116" s="1">
        <v>61</v>
      </c>
      <c r="AC116" s="1">
        <v>178</v>
      </c>
      <c r="AD116" s="1">
        <v>232</v>
      </c>
      <c r="AE116" s="1">
        <v>47</v>
      </c>
      <c r="AF116" s="1">
        <v>60</v>
      </c>
      <c r="AG116" s="1">
        <v>30</v>
      </c>
      <c r="AH116" s="1">
        <v>39</v>
      </c>
      <c r="AI116" s="1">
        <v>13</v>
      </c>
      <c r="AJ116">
        <v>89</v>
      </c>
    </row>
    <row r="117" spans="1:36" x14ac:dyDescent="0.15">
      <c r="A117">
        <v>90</v>
      </c>
      <c r="B117" s="1">
        <f t="shared" si="20"/>
        <v>341</v>
      </c>
      <c r="C117" s="1">
        <f t="shared" si="21"/>
        <v>443</v>
      </c>
      <c r="D117" s="1">
        <f t="shared" si="22"/>
        <v>294</v>
      </c>
      <c r="E117" s="1">
        <f t="shared" si="23"/>
        <v>382</v>
      </c>
      <c r="F117" s="1">
        <f t="shared" si="24"/>
        <v>308</v>
      </c>
      <c r="G117" s="1">
        <f t="shared" si="25"/>
        <v>401</v>
      </c>
      <c r="H117">
        <f t="shared" si="26"/>
        <v>118</v>
      </c>
      <c r="I117">
        <f t="shared" si="27"/>
        <v>153</v>
      </c>
      <c r="J117">
        <f t="shared" si="28"/>
        <v>199</v>
      </c>
      <c r="K117">
        <f t="shared" si="29"/>
        <v>259</v>
      </c>
      <c r="L117">
        <f t="shared" si="30"/>
        <v>33</v>
      </c>
      <c r="M117">
        <f t="shared" si="31"/>
        <v>42</v>
      </c>
      <c r="N117">
        <f t="shared" si="32"/>
        <v>129</v>
      </c>
      <c r="O117" s="1">
        <v>341</v>
      </c>
      <c r="P117" s="1">
        <v>443</v>
      </c>
      <c r="Q117" s="1">
        <v>294</v>
      </c>
      <c r="R117" s="1">
        <v>382</v>
      </c>
      <c r="S117" s="1">
        <v>52</v>
      </c>
      <c r="T117" s="1">
        <v>68</v>
      </c>
      <c r="U117" s="1">
        <v>99</v>
      </c>
      <c r="V117" s="1">
        <v>129</v>
      </c>
      <c r="W117" s="1">
        <v>118</v>
      </c>
      <c r="X117" s="1">
        <v>153</v>
      </c>
      <c r="Y117" s="1">
        <v>152</v>
      </c>
      <c r="Z117" s="1">
        <v>197</v>
      </c>
      <c r="AA117" s="1">
        <v>52</v>
      </c>
      <c r="AB117" s="1">
        <v>68</v>
      </c>
      <c r="AC117" s="1">
        <v>199</v>
      </c>
      <c r="AD117" s="1">
        <v>259</v>
      </c>
      <c r="AE117" s="1">
        <v>52</v>
      </c>
      <c r="AF117" s="1">
        <v>68</v>
      </c>
      <c r="AG117" s="1">
        <v>33</v>
      </c>
      <c r="AH117" s="1">
        <v>42</v>
      </c>
      <c r="AI117" s="1">
        <v>14</v>
      </c>
      <c r="AJ117">
        <v>90</v>
      </c>
    </row>
    <row r="118" spans="1:36" x14ac:dyDescent="0.15">
      <c r="A118">
        <v>91</v>
      </c>
      <c r="B118" s="1">
        <f t="shared" ref="B118:B119" si="241">O118</f>
        <v>341</v>
      </c>
      <c r="C118" s="1">
        <f t="shared" ref="C118:C119" si="242">P118</f>
        <v>443</v>
      </c>
      <c r="D118" s="1">
        <f t="shared" ref="D118:D119" si="243">Q118</f>
        <v>294</v>
      </c>
      <c r="E118" s="1">
        <f t="shared" ref="E118:E119" si="244">R118</f>
        <v>382</v>
      </c>
      <c r="F118" s="1">
        <f t="shared" ref="F118:F119" si="245">S118+Y118+AA118+AE118</f>
        <v>308</v>
      </c>
      <c r="G118" s="1">
        <f t="shared" ref="G118:G119" si="246">T118+Z118+AB118+AF118</f>
        <v>401</v>
      </c>
      <c r="H118">
        <f t="shared" ref="H118:H119" si="247">W118</f>
        <v>118</v>
      </c>
      <c r="I118">
        <f t="shared" ref="I118:I119" si="248">X118</f>
        <v>153</v>
      </c>
      <c r="J118">
        <f t="shared" ref="J118:J119" si="249">AC118</f>
        <v>199</v>
      </c>
      <c r="K118">
        <f t="shared" ref="K118:K119" si="250">AD118</f>
        <v>259</v>
      </c>
      <c r="L118">
        <f t="shared" ref="L118:L119" si="251">AG118</f>
        <v>33</v>
      </c>
      <c r="M118">
        <f t="shared" ref="M118:M119" si="252">AH118</f>
        <v>42</v>
      </c>
      <c r="N118">
        <f t="shared" ref="N118:N119" si="253">V118</f>
        <v>129</v>
      </c>
      <c r="O118" s="1">
        <v>341</v>
      </c>
      <c r="P118" s="1">
        <v>443</v>
      </c>
      <c r="Q118" s="1">
        <v>294</v>
      </c>
      <c r="R118" s="1">
        <v>382</v>
      </c>
      <c r="S118" s="1">
        <v>52</v>
      </c>
      <c r="T118" s="1">
        <v>68</v>
      </c>
      <c r="U118" s="1">
        <v>99</v>
      </c>
      <c r="V118" s="1">
        <v>129</v>
      </c>
      <c r="W118" s="1">
        <v>118</v>
      </c>
      <c r="X118" s="1">
        <v>153</v>
      </c>
      <c r="Y118" s="1">
        <v>152</v>
      </c>
      <c r="Z118" s="1">
        <v>197</v>
      </c>
      <c r="AA118" s="1">
        <v>52</v>
      </c>
      <c r="AB118" s="1">
        <v>68</v>
      </c>
      <c r="AC118" s="1">
        <v>199</v>
      </c>
      <c r="AD118" s="1">
        <v>259</v>
      </c>
      <c r="AE118" s="1">
        <v>52</v>
      </c>
      <c r="AF118" s="1">
        <v>68</v>
      </c>
      <c r="AG118" s="1">
        <v>33</v>
      </c>
      <c r="AH118" s="1">
        <v>42</v>
      </c>
      <c r="AI118" s="1">
        <v>14</v>
      </c>
      <c r="AJ118">
        <v>91</v>
      </c>
    </row>
    <row r="119" spans="1:36" x14ac:dyDescent="0.15">
      <c r="A119">
        <v>92</v>
      </c>
      <c r="B119" s="1">
        <f t="shared" si="241"/>
        <v>341</v>
      </c>
      <c r="C119" s="1">
        <f t="shared" si="242"/>
        <v>443</v>
      </c>
      <c r="D119" s="1">
        <f t="shared" si="243"/>
        <v>294</v>
      </c>
      <c r="E119" s="1">
        <f t="shared" si="244"/>
        <v>382</v>
      </c>
      <c r="F119" s="1">
        <f t="shared" si="245"/>
        <v>308</v>
      </c>
      <c r="G119" s="1">
        <f t="shared" si="246"/>
        <v>401</v>
      </c>
      <c r="H119">
        <f t="shared" si="247"/>
        <v>118</v>
      </c>
      <c r="I119">
        <f t="shared" si="248"/>
        <v>153</v>
      </c>
      <c r="J119">
        <f t="shared" si="249"/>
        <v>199</v>
      </c>
      <c r="K119">
        <f t="shared" si="250"/>
        <v>259</v>
      </c>
      <c r="L119">
        <f t="shared" si="251"/>
        <v>33</v>
      </c>
      <c r="M119">
        <f t="shared" si="252"/>
        <v>42</v>
      </c>
      <c r="N119">
        <f t="shared" si="253"/>
        <v>129</v>
      </c>
      <c r="O119" s="1">
        <v>341</v>
      </c>
      <c r="P119" s="1">
        <v>443</v>
      </c>
      <c r="Q119" s="1">
        <v>294</v>
      </c>
      <c r="R119" s="1">
        <v>382</v>
      </c>
      <c r="S119" s="1">
        <v>52</v>
      </c>
      <c r="T119" s="1">
        <v>68</v>
      </c>
      <c r="U119" s="1">
        <v>99</v>
      </c>
      <c r="V119" s="1">
        <v>129</v>
      </c>
      <c r="W119" s="1">
        <v>118</v>
      </c>
      <c r="X119" s="1">
        <v>153</v>
      </c>
      <c r="Y119" s="1">
        <v>152</v>
      </c>
      <c r="Z119" s="1">
        <v>197</v>
      </c>
      <c r="AA119" s="1">
        <v>52</v>
      </c>
      <c r="AB119" s="1">
        <v>68</v>
      </c>
      <c r="AC119" s="1">
        <v>199</v>
      </c>
      <c r="AD119" s="1">
        <v>259</v>
      </c>
      <c r="AE119" s="1">
        <v>52</v>
      </c>
      <c r="AF119" s="1">
        <v>68</v>
      </c>
      <c r="AG119" s="1">
        <v>33</v>
      </c>
      <c r="AH119" s="1">
        <v>42</v>
      </c>
      <c r="AI119" s="1">
        <v>14</v>
      </c>
      <c r="AJ119">
        <v>92</v>
      </c>
    </row>
    <row r="120" spans="1:36" x14ac:dyDescent="0.15">
      <c r="A120">
        <v>93</v>
      </c>
      <c r="B120" s="1">
        <f t="shared" ref="B120:B126" si="254">O120</f>
        <v>341</v>
      </c>
      <c r="C120" s="1">
        <f t="shared" ref="C120:C126" si="255">P120</f>
        <v>443</v>
      </c>
      <c r="D120" s="1">
        <f t="shared" ref="D120:D126" si="256">Q120</f>
        <v>294</v>
      </c>
      <c r="E120" s="1">
        <f t="shared" ref="E120:E126" si="257">R120</f>
        <v>382</v>
      </c>
      <c r="F120" s="1">
        <f t="shared" ref="F120:F126" si="258">S120+Y120+AA120+AE120</f>
        <v>308</v>
      </c>
      <c r="G120" s="1">
        <f t="shared" ref="G120:G126" si="259">T120+Z120+AB120+AF120</f>
        <v>401</v>
      </c>
      <c r="H120">
        <f t="shared" ref="H120:H126" si="260">W120</f>
        <v>118</v>
      </c>
      <c r="I120">
        <f t="shared" ref="I120:I126" si="261">X120</f>
        <v>153</v>
      </c>
      <c r="J120">
        <f t="shared" ref="J120:J126" si="262">AC120</f>
        <v>199</v>
      </c>
      <c r="K120">
        <f t="shared" ref="K120:K126" si="263">AD120</f>
        <v>259</v>
      </c>
      <c r="L120">
        <f t="shared" ref="L120:L126" si="264">AG120</f>
        <v>33</v>
      </c>
      <c r="M120">
        <f t="shared" ref="M120:M126" si="265">AH120</f>
        <v>42</v>
      </c>
      <c r="N120">
        <f t="shared" ref="N120:N126" si="266">V120</f>
        <v>129</v>
      </c>
      <c r="O120" s="1">
        <v>341</v>
      </c>
      <c r="P120" s="1">
        <v>443</v>
      </c>
      <c r="Q120" s="1">
        <v>294</v>
      </c>
      <c r="R120" s="1">
        <v>382</v>
      </c>
      <c r="S120" s="1">
        <v>52</v>
      </c>
      <c r="T120" s="1">
        <v>68</v>
      </c>
      <c r="U120" s="1">
        <v>99</v>
      </c>
      <c r="V120" s="1">
        <v>129</v>
      </c>
      <c r="W120" s="1">
        <v>118</v>
      </c>
      <c r="X120" s="1">
        <v>153</v>
      </c>
      <c r="Y120" s="1">
        <v>152</v>
      </c>
      <c r="Z120" s="1">
        <v>197</v>
      </c>
      <c r="AA120" s="1">
        <v>52</v>
      </c>
      <c r="AB120" s="1">
        <v>68</v>
      </c>
      <c r="AC120" s="1">
        <v>199</v>
      </c>
      <c r="AD120" s="1">
        <v>259</v>
      </c>
      <c r="AE120" s="1">
        <v>52</v>
      </c>
      <c r="AF120" s="1">
        <v>68</v>
      </c>
      <c r="AG120" s="1">
        <v>33</v>
      </c>
      <c r="AH120" s="1">
        <v>42</v>
      </c>
      <c r="AI120" s="1">
        <v>14</v>
      </c>
      <c r="AJ120">
        <v>93</v>
      </c>
    </row>
    <row r="121" spans="1:36" x14ac:dyDescent="0.15">
      <c r="A121">
        <v>94</v>
      </c>
      <c r="B121" s="1">
        <f t="shared" si="254"/>
        <v>341</v>
      </c>
      <c r="C121" s="1">
        <f t="shared" si="255"/>
        <v>443</v>
      </c>
      <c r="D121" s="1">
        <f t="shared" si="256"/>
        <v>294</v>
      </c>
      <c r="E121" s="1">
        <f t="shared" si="257"/>
        <v>382</v>
      </c>
      <c r="F121" s="1">
        <f t="shared" si="258"/>
        <v>308</v>
      </c>
      <c r="G121" s="1">
        <f t="shared" si="259"/>
        <v>401</v>
      </c>
      <c r="H121">
        <f t="shared" si="260"/>
        <v>118</v>
      </c>
      <c r="I121">
        <f t="shared" si="261"/>
        <v>153</v>
      </c>
      <c r="J121">
        <f t="shared" si="262"/>
        <v>199</v>
      </c>
      <c r="K121">
        <f t="shared" si="263"/>
        <v>259</v>
      </c>
      <c r="L121">
        <f t="shared" si="264"/>
        <v>33</v>
      </c>
      <c r="M121">
        <f t="shared" si="265"/>
        <v>42</v>
      </c>
      <c r="N121">
        <f t="shared" si="266"/>
        <v>129</v>
      </c>
      <c r="O121" s="1">
        <v>341</v>
      </c>
      <c r="P121" s="1">
        <v>443</v>
      </c>
      <c r="Q121" s="1">
        <v>294</v>
      </c>
      <c r="R121" s="1">
        <v>382</v>
      </c>
      <c r="S121" s="1">
        <v>52</v>
      </c>
      <c r="T121" s="1">
        <v>68</v>
      </c>
      <c r="U121" s="1">
        <v>99</v>
      </c>
      <c r="V121" s="1">
        <v>129</v>
      </c>
      <c r="W121" s="1">
        <v>118</v>
      </c>
      <c r="X121" s="1">
        <v>153</v>
      </c>
      <c r="Y121" s="1">
        <v>152</v>
      </c>
      <c r="Z121" s="1">
        <v>197</v>
      </c>
      <c r="AA121" s="1">
        <v>52</v>
      </c>
      <c r="AB121" s="1">
        <v>68</v>
      </c>
      <c r="AC121" s="1">
        <v>199</v>
      </c>
      <c r="AD121" s="1">
        <v>259</v>
      </c>
      <c r="AE121" s="1">
        <v>52</v>
      </c>
      <c r="AF121" s="1">
        <v>68</v>
      </c>
      <c r="AG121" s="1">
        <v>33</v>
      </c>
      <c r="AH121" s="1">
        <v>42</v>
      </c>
      <c r="AI121" s="1">
        <v>14</v>
      </c>
      <c r="AJ121">
        <v>94</v>
      </c>
    </row>
    <row r="122" spans="1:36" x14ac:dyDescent="0.15">
      <c r="A122">
        <v>95</v>
      </c>
      <c r="B122" s="1">
        <f t="shared" si="254"/>
        <v>341</v>
      </c>
      <c r="C122" s="1">
        <f t="shared" si="255"/>
        <v>443</v>
      </c>
      <c r="D122" s="1">
        <f t="shared" si="256"/>
        <v>294</v>
      </c>
      <c r="E122" s="1">
        <f t="shared" si="257"/>
        <v>382</v>
      </c>
      <c r="F122" s="1">
        <f t="shared" si="258"/>
        <v>308</v>
      </c>
      <c r="G122" s="1">
        <f t="shared" si="259"/>
        <v>401</v>
      </c>
      <c r="H122">
        <f t="shared" si="260"/>
        <v>118</v>
      </c>
      <c r="I122">
        <f t="shared" si="261"/>
        <v>153</v>
      </c>
      <c r="J122">
        <f t="shared" si="262"/>
        <v>199</v>
      </c>
      <c r="K122">
        <f t="shared" si="263"/>
        <v>259</v>
      </c>
      <c r="L122">
        <f t="shared" si="264"/>
        <v>33</v>
      </c>
      <c r="M122">
        <f t="shared" si="265"/>
        <v>42</v>
      </c>
      <c r="N122">
        <f t="shared" si="266"/>
        <v>129</v>
      </c>
      <c r="O122" s="1">
        <v>341</v>
      </c>
      <c r="P122" s="1">
        <v>443</v>
      </c>
      <c r="Q122" s="1">
        <v>294</v>
      </c>
      <c r="R122" s="1">
        <v>382</v>
      </c>
      <c r="S122" s="1">
        <v>52</v>
      </c>
      <c r="T122" s="1">
        <v>68</v>
      </c>
      <c r="U122" s="1">
        <v>99</v>
      </c>
      <c r="V122" s="1">
        <v>129</v>
      </c>
      <c r="W122" s="1">
        <v>118</v>
      </c>
      <c r="X122" s="1">
        <v>153</v>
      </c>
      <c r="Y122" s="1">
        <v>152</v>
      </c>
      <c r="Z122" s="1">
        <v>197</v>
      </c>
      <c r="AA122" s="1">
        <v>52</v>
      </c>
      <c r="AB122" s="1">
        <v>68</v>
      </c>
      <c r="AC122" s="1">
        <v>199</v>
      </c>
      <c r="AD122" s="1">
        <v>259</v>
      </c>
      <c r="AE122" s="1">
        <v>52</v>
      </c>
      <c r="AF122" s="1">
        <v>68</v>
      </c>
      <c r="AG122" s="1">
        <v>33</v>
      </c>
      <c r="AH122" s="1">
        <v>42</v>
      </c>
      <c r="AI122" s="1">
        <v>15</v>
      </c>
      <c r="AJ122">
        <v>95</v>
      </c>
    </row>
    <row r="123" spans="1:36" x14ac:dyDescent="0.15">
      <c r="A123">
        <v>96</v>
      </c>
      <c r="B123" s="1">
        <f t="shared" si="254"/>
        <v>341</v>
      </c>
      <c r="C123" s="1">
        <f t="shared" si="255"/>
        <v>443</v>
      </c>
      <c r="D123" s="1">
        <f t="shared" si="256"/>
        <v>294</v>
      </c>
      <c r="E123" s="1">
        <f t="shared" si="257"/>
        <v>382</v>
      </c>
      <c r="F123" s="1">
        <f t="shared" si="258"/>
        <v>308</v>
      </c>
      <c r="G123" s="1">
        <f t="shared" si="259"/>
        <v>401</v>
      </c>
      <c r="H123">
        <f t="shared" si="260"/>
        <v>118</v>
      </c>
      <c r="I123">
        <f t="shared" si="261"/>
        <v>153</v>
      </c>
      <c r="J123">
        <f t="shared" si="262"/>
        <v>199</v>
      </c>
      <c r="K123">
        <f t="shared" si="263"/>
        <v>259</v>
      </c>
      <c r="L123">
        <f t="shared" si="264"/>
        <v>33</v>
      </c>
      <c r="M123">
        <f t="shared" si="265"/>
        <v>42</v>
      </c>
      <c r="N123">
        <f t="shared" si="266"/>
        <v>129</v>
      </c>
      <c r="O123" s="1">
        <v>341</v>
      </c>
      <c r="P123" s="1">
        <v>443</v>
      </c>
      <c r="Q123" s="1">
        <v>294</v>
      </c>
      <c r="R123" s="1">
        <v>382</v>
      </c>
      <c r="S123" s="1">
        <v>52</v>
      </c>
      <c r="T123" s="1">
        <v>68</v>
      </c>
      <c r="U123" s="1">
        <v>99</v>
      </c>
      <c r="V123" s="1">
        <v>129</v>
      </c>
      <c r="W123" s="1">
        <v>118</v>
      </c>
      <c r="X123" s="1">
        <v>153</v>
      </c>
      <c r="Y123" s="1">
        <v>152</v>
      </c>
      <c r="Z123" s="1">
        <v>197</v>
      </c>
      <c r="AA123" s="1">
        <v>52</v>
      </c>
      <c r="AB123" s="1">
        <v>68</v>
      </c>
      <c r="AC123" s="1">
        <v>199</v>
      </c>
      <c r="AD123" s="1">
        <v>259</v>
      </c>
      <c r="AE123" s="1">
        <v>52</v>
      </c>
      <c r="AF123" s="1">
        <v>68</v>
      </c>
      <c r="AG123" s="1">
        <v>33</v>
      </c>
      <c r="AH123" s="1">
        <v>42</v>
      </c>
      <c r="AI123" s="1">
        <v>15</v>
      </c>
      <c r="AJ123">
        <v>96</v>
      </c>
    </row>
    <row r="124" spans="1:36" x14ac:dyDescent="0.15">
      <c r="A124">
        <v>97</v>
      </c>
      <c r="B124" s="1">
        <f t="shared" si="254"/>
        <v>341</v>
      </c>
      <c r="C124" s="1">
        <f t="shared" si="255"/>
        <v>443</v>
      </c>
      <c r="D124" s="1">
        <f t="shared" si="256"/>
        <v>294</v>
      </c>
      <c r="E124" s="1">
        <f t="shared" si="257"/>
        <v>382</v>
      </c>
      <c r="F124" s="1">
        <f t="shared" si="258"/>
        <v>308</v>
      </c>
      <c r="G124" s="1">
        <f t="shared" si="259"/>
        <v>401</v>
      </c>
      <c r="H124">
        <f t="shared" si="260"/>
        <v>118</v>
      </c>
      <c r="I124">
        <f t="shared" si="261"/>
        <v>153</v>
      </c>
      <c r="J124">
        <f t="shared" si="262"/>
        <v>199</v>
      </c>
      <c r="K124">
        <f t="shared" si="263"/>
        <v>259</v>
      </c>
      <c r="L124">
        <f t="shared" si="264"/>
        <v>33</v>
      </c>
      <c r="M124">
        <f t="shared" si="265"/>
        <v>42</v>
      </c>
      <c r="N124">
        <f t="shared" si="266"/>
        <v>129</v>
      </c>
      <c r="O124" s="1">
        <v>341</v>
      </c>
      <c r="P124" s="1">
        <v>443</v>
      </c>
      <c r="Q124" s="1">
        <v>294</v>
      </c>
      <c r="R124" s="1">
        <v>382</v>
      </c>
      <c r="S124" s="1">
        <v>52</v>
      </c>
      <c r="T124" s="1">
        <v>68</v>
      </c>
      <c r="U124" s="1">
        <v>99</v>
      </c>
      <c r="V124" s="1">
        <v>129</v>
      </c>
      <c r="W124" s="1">
        <v>118</v>
      </c>
      <c r="X124" s="1">
        <v>153</v>
      </c>
      <c r="Y124" s="1">
        <v>152</v>
      </c>
      <c r="Z124" s="1">
        <v>197</v>
      </c>
      <c r="AA124" s="1">
        <v>52</v>
      </c>
      <c r="AB124" s="1">
        <v>68</v>
      </c>
      <c r="AC124" s="1">
        <v>199</v>
      </c>
      <c r="AD124" s="1">
        <v>259</v>
      </c>
      <c r="AE124" s="1">
        <v>52</v>
      </c>
      <c r="AF124" s="1">
        <v>68</v>
      </c>
      <c r="AG124" s="1">
        <v>33</v>
      </c>
      <c r="AH124" s="1">
        <v>42</v>
      </c>
      <c r="AI124" s="1">
        <v>15</v>
      </c>
      <c r="AJ124">
        <v>97</v>
      </c>
    </row>
    <row r="125" spans="1:36" x14ac:dyDescent="0.15">
      <c r="A125">
        <v>98</v>
      </c>
      <c r="B125" s="1">
        <f t="shared" si="254"/>
        <v>341</v>
      </c>
      <c r="C125" s="1">
        <f t="shared" si="255"/>
        <v>443</v>
      </c>
      <c r="D125" s="1">
        <f t="shared" si="256"/>
        <v>294</v>
      </c>
      <c r="E125" s="1">
        <f t="shared" si="257"/>
        <v>382</v>
      </c>
      <c r="F125" s="1">
        <f t="shared" si="258"/>
        <v>308</v>
      </c>
      <c r="G125" s="1">
        <f t="shared" si="259"/>
        <v>401</v>
      </c>
      <c r="H125">
        <f t="shared" si="260"/>
        <v>118</v>
      </c>
      <c r="I125">
        <f t="shared" si="261"/>
        <v>153</v>
      </c>
      <c r="J125">
        <f t="shared" si="262"/>
        <v>199</v>
      </c>
      <c r="K125">
        <f t="shared" si="263"/>
        <v>259</v>
      </c>
      <c r="L125">
        <f t="shared" si="264"/>
        <v>33</v>
      </c>
      <c r="M125">
        <f t="shared" si="265"/>
        <v>42</v>
      </c>
      <c r="N125">
        <f t="shared" si="266"/>
        <v>129</v>
      </c>
      <c r="O125" s="1">
        <v>341</v>
      </c>
      <c r="P125" s="1">
        <v>443</v>
      </c>
      <c r="Q125" s="1">
        <v>294</v>
      </c>
      <c r="R125" s="1">
        <v>382</v>
      </c>
      <c r="S125" s="1">
        <v>52</v>
      </c>
      <c r="T125" s="1">
        <v>68</v>
      </c>
      <c r="U125" s="1">
        <v>99</v>
      </c>
      <c r="V125" s="1">
        <v>129</v>
      </c>
      <c r="W125" s="1">
        <v>118</v>
      </c>
      <c r="X125" s="1">
        <v>153</v>
      </c>
      <c r="Y125" s="1">
        <v>152</v>
      </c>
      <c r="Z125" s="1">
        <v>197</v>
      </c>
      <c r="AA125" s="1">
        <v>52</v>
      </c>
      <c r="AB125" s="1">
        <v>68</v>
      </c>
      <c r="AC125" s="1">
        <v>199</v>
      </c>
      <c r="AD125" s="1">
        <v>259</v>
      </c>
      <c r="AE125" s="1">
        <v>52</v>
      </c>
      <c r="AF125" s="1">
        <v>68</v>
      </c>
      <c r="AG125" s="1">
        <v>33</v>
      </c>
      <c r="AH125" s="1">
        <v>42</v>
      </c>
      <c r="AI125" s="1">
        <v>15</v>
      </c>
      <c r="AJ125">
        <v>98</v>
      </c>
    </row>
    <row r="126" spans="1:36" x14ac:dyDescent="0.15">
      <c r="A126">
        <v>99</v>
      </c>
      <c r="B126" s="1">
        <f t="shared" si="254"/>
        <v>341</v>
      </c>
      <c r="C126" s="1">
        <f t="shared" si="255"/>
        <v>443</v>
      </c>
      <c r="D126" s="1">
        <f t="shared" si="256"/>
        <v>294</v>
      </c>
      <c r="E126" s="1">
        <f t="shared" si="257"/>
        <v>382</v>
      </c>
      <c r="F126" s="1">
        <f t="shared" si="258"/>
        <v>308</v>
      </c>
      <c r="G126" s="1">
        <f t="shared" si="259"/>
        <v>401</v>
      </c>
      <c r="H126">
        <f t="shared" si="260"/>
        <v>118</v>
      </c>
      <c r="I126">
        <f t="shared" si="261"/>
        <v>153</v>
      </c>
      <c r="J126">
        <f t="shared" si="262"/>
        <v>199</v>
      </c>
      <c r="K126">
        <f t="shared" si="263"/>
        <v>259</v>
      </c>
      <c r="L126">
        <f t="shared" si="264"/>
        <v>33</v>
      </c>
      <c r="M126">
        <f t="shared" si="265"/>
        <v>42</v>
      </c>
      <c r="N126">
        <f t="shared" si="266"/>
        <v>129</v>
      </c>
      <c r="O126" s="1">
        <v>341</v>
      </c>
      <c r="P126" s="1">
        <v>443</v>
      </c>
      <c r="Q126" s="1">
        <v>294</v>
      </c>
      <c r="R126" s="1">
        <v>382</v>
      </c>
      <c r="S126" s="1">
        <v>52</v>
      </c>
      <c r="T126" s="1">
        <v>68</v>
      </c>
      <c r="U126" s="1">
        <v>99</v>
      </c>
      <c r="V126" s="1">
        <v>129</v>
      </c>
      <c r="W126" s="1">
        <v>118</v>
      </c>
      <c r="X126" s="1">
        <v>153</v>
      </c>
      <c r="Y126" s="1">
        <v>152</v>
      </c>
      <c r="Z126" s="1">
        <v>197</v>
      </c>
      <c r="AA126" s="1">
        <v>52</v>
      </c>
      <c r="AB126" s="1">
        <v>68</v>
      </c>
      <c r="AC126" s="1">
        <v>199</v>
      </c>
      <c r="AD126" s="1">
        <v>259</v>
      </c>
      <c r="AE126" s="1">
        <v>52</v>
      </c>
      <c r="AF126" s="1">
        <v>68</v>
      </c>
      <c r="AG126" s="1">
        <v>33</v>
      </c>
      <c r="AH126" s="1">
        <v>42</v>
      </c>
      <c r="AI126" s="1">
        <v>15</v>
      </c>
      <c r="AJ126">
        <v>99</v>
      </c>
    </row>
    <row r="127" spans="1:36" x14ac:dyDescent="0.15">
      <c r="A127">
        <v>100</v>
      </c>
      <c r="B127" s="1">
        <f t="shared" si="20"/>
        <v>378</v>
      </c>
      <c r="C127" s="1">
        <f t="shared" si="21"/>
        <v>491</v>
      </c>
      <c r="D127" s="1">
        <f t="shared" si="22"/>
        <v>325</v>
      </c>
      <c r="E127" s="1">
        <f t="shared" si="23"/>
        <v>423</v>
      </c>
      <c r="F127" s="1">
        <f t="shared" si="24"/>
        <v>339</v>
      </c>
      <c r="G127" s="1">
        <f t="shared" si="25"/>
        <v>441</v>
      </c>
      <c r="H127">
        <f t="shared" si="26"/>
        <v>131</v>
      </c>
      <c r="I127">
        <f t="shared" si="27"/>
        <v>170</v>
      </c>
      <c r="J127">
        <f t="shared" si="28"/>
        <v>220</v>
      </c>
      <c r="K127">
        <f t="shared" si="29"/>
        <v>286</v>
      </c>
      <c r="L127">
        <f t="shared" si="30"/>
        <v>36</v>
      </c>
      <c r="M127">
        <f t="shared" si="31"/>
        <v>46</v>
      </c>
      <c r="N127">
        <f t="shared" si="32"/>
        <v>143</v>
      </c>
      <c r="O127" s="1">
        <v>378</v>
      </c>
      <c r="P127" s="1">
        <v>491</v>
      </c>
      <c r="Q127" s="1">
        <v>325</v>
      </c>
      <c r="R127" s="1">
        <v>423</v>
      </c>
      <c r="S127" s="1">
        <v>57</v>
      </c>
      <c r="T127" s="1">
        <v>74</v>
      </c>
      <c r="U127" s="1">
        <v>110</v>
      </c>
      <c r="V127" s="1">
        <v>143</v>
      </c>
      <c r="W127" s="1">
        <v>131</v>
      </c>
      <c r="X127" s="1">
        <v>170</v>
      </c>
      <c r="Y127" s="1">
        <v>168</v>
      </c>
      <c r="Z127" s="1">
        <v>218</v>
      </c>
      <c r="AA127" s="1">
        <v>57</v>
      </c>
      <c r="AB127" s="1">
        <v>75</v>
      </c>
      <c r="AC127" s="1">
        <v>220</v>
      </c>
      <c r="AD127" s="1">
        <v>286</v>
      </c>
      <c r="AE127" s="1">
        <v>57</v>
      </c>
      <c r="AF127" s="1">
        <v>74</v>
      </c>
      <c r="AG127" s="1">
        <v>36</v>
      </c>
      <c r="AH127" s="1">
        <v>46</v>
      </c>
      <c r="AI127" s="1">
        <v>16</v>
      </c>
      <c r="AJ127">
        <v>100</v>
      </c>
    </row>
    <row r="128" spans="1:36" x14ac:dyDescent="0.15">
      <c r="A128">
        <v>101</v>
      </c>
      <c r="B128" s="1">
        <f t="shared" ref="B128:B129" si="267">O128</f>
        <v>378</v>
      </c>
      <c r="C128" s="1">
        <f t="shared" ref="C128:C129" si="268">P128</f>
        <v>491</v>
      </c>
      <c r="D128" s="1">
        <f t="shared" ref="D128:D129" si="269">Q128</f>
        <v>325</v>
      </c>
      <c r="E128" s="1">
        <f t="shared" ref="E128:E129" si="270">R128</f>
        <v>423</v>
      </c>
      <c r="F128" s="1">
        <f t="shared" ref="F128:F129" si="271">S128+Y128+AA128+AE128</f>
        <v>339</v>
      </c>
      <c r="G128" s="1">
        <f t="shared" ref="G128:G129" si="272">T128+Z128+AB128+AF128</f>
        <v>441</v>
      </c>
      <c r="H128">
        <f t="shared" ref="H128:H129" si="273">W128</f>
        <v>131</v>
      </c>
      <c r="I128">
        <f t="shared" ref="I128:I129" si="274">X128</f>
        <v>170</v>
      </c>
      <c r="J128">
        <f t="shared" ref="J128:J129" si="275">AC128</f>
        <v>220</v>
      </c>
      <c r="K128">
        <f t="shared" ref="K128:K129" si="276">AD128</f>
        <v>286</v>
      </c>
      <c r="L128">
        <f t="shared" ref="L128:L129" si="277">AG128</f>
        <v>36</v>
      </c>
      <c r="M128">
        <f t="shared" ref="M128:M129" si="278">AH128</f>
        <v>46</v>
      </c>
      <c r="N128">
        <f t="shared" ref="N128:N129" si="279">V128</f>
        <v>143</v>
      </c>
      <c r="O128" s="1">
        <v>378</v>
      </c>
      <c r="P128" s="1">
        <v>491</v>
      </c>
      <c r="Q128" s="1">
        <v>325</v>
      </c>
      <c r="R128" s="1">
        <v>423</v>
      </c>
      <c r="S128" s="1">
        <v>57</v>
      </c>
      <c r="T128" s="1">
        <v>74</v>
      </c>
      <c r="U128" s="1">
        <v>110</v>
      </c>
      <c r="V128" s="1">
        <v>143</v>
      </c>
      <c r="W128" s="1">
        <v>131</v>
      </c>
      <c r="X128" s="1">
        <v>170</v>
      </c>
      <c r="Y128" s="1">
        <v>168</v>
      </c>
      <c r="Z128" s="1">
        <v>218</v>
      </c>
      <c r="AA128" s="1">
        <v>57</v>
      </c>
      <c r="AB128" s="1">
        <v>75</v>
      </c>
      <c r="AC128" s="1">
        <v>220</v>
      </c>
      <c r="AD128" s="1">
        <v>286</v>
      </c>
      <c r="AE128" s="1">
        <v>57</v>
      </c>
      <c r="AF128" s="1">
        <v>74</v>
      </c>
      <c r="AG128" s="1">
        <v>36</v>
      </c>
      <c r="AH128" s="1">
        <v>46</v>
      </c>
      <c r="AI128" s="1">
        <v>16</v>
      </c>
      <c r="AJ128">
        <v>101</v>
      </c>
    </row>
    <row r="129" spans="1:36" x14ac:dyDescent="0.15">
      <c r="A129">
        <v>102</v>
      </c>
      <c r="B129" s="1">
        <f t="shared" si="267"/>
        <v>378</v>
      </c>
      <c r="C129" s="1">
        <f t="shared" si="268"/>
        <v>491</v>
      </c>
      <c r="D129" s="1">
        <f t="shared" si="269"/>
        <v>325</v>
      </c>
      <c r="E129" s="1">
        <f t="shared" si="270"/>
        <v>423</v>
      </c>
      <c r="F129" s="1">
        <f t="shared" si="271"/>
        <v>339</v>
      </c>
      <c r="G129" s="1">
        <f t="shared" si="272"/>
        <v>441</v>
      </c>
      <c r="H129">
        <f t="shared" si="273"/>
        <v>131</v>
      </c>
      <c r="I129">
        <f t="shared" si="274"/>
        <v>170</v>
      </c>
      <c r="J129">
        <f t="shared" si="275"/>
        <v>220</v>
      </c>
      <c r="K129">
        <f t="shared" si="276"/>
        <v>286</v>
      </c>
      <c r="L129">
        <f t="shared" si="277"/>
        <v>36</v>
      </c>
      <c r="M129">
        <f t="shared" si="278"/>
        <v>46</v>
      </c>
      <c r="N129">
        <f t="shared" si="279"/>
        <v>143</v>
      </c>
      <c r="O129" s="1">
        <v>378</v>
      </c>
      <c r="P129" s="1">
        <v>491</v>
      </c>
      <c r="Q129" s="1">
        <v>325</v>
      </c>
      <c r="R129" s="1">
        <v>423</v>
      </c>
      <c r="S129" s="1">
        <v>57</v>
      </c>
      <c r="T129" s="1">
        <v>74</v>
      </c>
      <c r="U129" s="1">
        <v>110</v>
      </c>
      <c r="V129" s="1">
        <v>143</v>
      </c>
      <c r="W129" s="1">
        <v>131</v>
      </c>
      <c r="X129" s="1">
        <v>170</v>
      </c>
      <c r="Y129" s="1">
        <v>168</v>
      </c>
      <c r="Z129" s="1">
        <v>218</v>
      </c>
      <c r="AA129" s="1">
        <v>57</v>
      </c>
      <c r="AB129" s="1">
        <v>75</v>
      </c>
      <c r="AC129" s="1">
        <v>220</v>
      </c>
      <c r="AD129" s="1">
        <v>286</v>
      </c>
      <c r="AE129" s="1">
        <v>57</v>
      </c>
      <c r="AF129" s="1">
        <v>74</v>
      </c>
      <c r="AG129" s="1">
        <v>36</v>
      </c>
      <c r="AH129" s="1">
        <v>46</v>
      </c>
      <c r="AI129" s="1">
        <v>16</v>
      </c>
      <c r="AJ129">
        <v>102</v>
      </c>
    </row>
    <row r="130" spans="1:36" x14ac:dyDescent="0.15">
      <c r="A130">
        <v>103</v>
      </c>
      <c r="B130" s="1">
        <f t="shared" ref="B130:B136" si="280">O130</f>
        <v>378</v>
      </c>
      <c r="C130" s="1">
        <f t="shared" ref="C130:C136" si="281">P130</f>
        <v>491</v>
      </c>
      <c r="D130" s="1">
        <f t="shared" ref="D130:D136" si="282">Q130</f>
        <v>325</v>
      </c>
      <c r="E130" s="1">
        <f t="shared" ref="E130:E136" si="283">R130</f>
        <v>423</v>
      </c>
      <c r="F130" s="1">
        <f t="shared" ref="F130:F136" si="284">S130+Y130+AA130+AE130</f>
        <v>339</v>
      </c>
      <c r="G130" s="1">
        <f t="shared" ref="G130:G136" si="285">T130+Z130+AB130+AF130</f>
        <v>441</v>
      </c>
      <c r="H130">
        <f t="shared" ref="H130:H136" si="286">W130</f>
        <v>131</v>
      </c>
      <c r="I130">
        <f t="shared" ref="I130:I136" si="287">X130</f>
        <v>170</v>
      </c>
      <c r="J130">
        <f t="shared" ref="J130:J136" si="288">AC130</f>
        <v>220</v>
      </c>
      <c r="K130">
        <f t="shared" ref="K130:K136" si="289">AD130</f>
        <v>286</v>
      </c>
      <c r="L130">
        <f t="shared" ref="L130:L136" si="290">AG130</f>
        <v>36</v>
      </c>
      <c r="M130">
        <f t="shared" ref="M130:M136" si="291">AH130</f>
        <v>46</v>
      </c>
      <c r="N130">
        <f t="shared" ref="N130:N136" si="292">V130</f>
        <v>143</v>
      </c>
      <c r="O130" s="1">
        <v>378</v>
      </c>
      <c r="P130" s="1">
        <v>491</v>
      </c>
      <c r="Q130" s="1">
        <v>325</v>
      </c>
      <c r="R130" s="1">
        <v>423</v>
      </c>
      <c r="S130" s="1">
        <v>57</v>
      </c>
      <c r="T130" s="1">
        <v>74</v>
      </c>
      <c r="U130" s="1">
        <v>110</v>
      </c>
      <c r="V130" s="1">
        <v>143</v>
      </c>
      <c r="W130" s="1">
        <v>131</v>
      </c>
      <c r="X130" s="1">
        <v>170</v>
      </c>
      <c r="Y130" s="1">
        <v>168</v>
      </c>
      <c r="Z130" s="1">
        <v>218</v>
      </c>
      <c r="AA130" s="1">
        <v>57</v>
      </c>
      <c r="AB130" s="1">
        <v>75</v>
      </c>
      <c r="AC130" s="1">
        <v>220</v>
      </c>
      <c r="AD130" s="1">
        <v>286</v>
      </c>
      <c r="AE130" s="1">
        <v>57</v>
      </c>
      <c r="AF130" s="1">
        <v>74</v>
      </c>
      <c r="AG130" s="1">
        <v>36</v>
      </c>
      <c r="AH130" s="1">
        <v>46</v>
      </c>
      <c r="AI130" s="1">
        <v>16</v>
      </c>
      <c r="AJ130">
        <v>103</v>
      </c>
    </row>
    <row r="131" spans="1:36" x14ac:dyDescent="0.15">
      <c r="A131">
        <v>104</v>
      </c>
      <c r="B131" s="1">
        <f t="shared" si="280"/>
        <v>378</v>
      </c>
      <c r="C131" s="1">
        <f t="shared" si="281"/>
        <v>491</v>
      </c>
      <c r="D131" s="1">
        <f t="shared" si="282"/>
        <v>325</v>
      </c>
      <c r="E131" s="1">
        <f t="shared" si="283"/>
        <v>423</v>
      </c>
      <c r="F131" s="1">
        <f t="shared" si="284"/>
        <v>339</v>
      </c>
      <c r="G131" s="1">
        <f t="shared" si="285"/>
        <v>441</v>
      </c>
      <c r="H131">
        <f t="shared" si="286"/>
        <v>131</v>
      </c>
      <c r="I131">
        <f t="shared" si="287"/>
        <v>170</v>
      </c>
      <c r="J131">
        <f t="shared" si="288"/>
        <v>220</v>
      </c>
      <c r="K131">
        <f t="shared" si="289"/>
        <v>286</v>
      </c>
      <c r="L131">
        <f t="shared" si="290"/>
        <v>36</v>
      </c>
      <c r="M131">
        <f t="shared" si="291"/>
        <v>46</v>
      </c>
      <c r="N131">
        <f t="shared" si="292"/>
        <v>143</v>
      </c>
      <c r="O131" s="1">
        <v>378</v>
      </c>
      <c r="P131" s="1">
        <v>491</v>
      </c>
      <c r="Q131" s="1">
        <v>325</v>
      </c>
      <c r="R131" s="1">
        <v>423</v>
      </c>
      <c r="S131" s="1">
        <v>57</v>
      </c>
      <c r="T131" s="1">
        <v>74</v>
      </c>
      <c r="U131" s="1">
        <v>110</v>
      </c>
      <c r="V131" s="1">
        <v>143</v>
      </c>
      <c r="W131" s="1">
        <v>131</v>
      </c>
      <c r="X131" s="1">
        <v>170</v>
      </c>
      <c r="Y131" s="1">
        <v>168</v>
      </c>
      <c r="Z131" s="1">
        <v>218</v>
      </c>
      <c r="AA131" s="1">
        <v>57</v>
      </c>
      <c r="AB131" s="1">
        <v>75</v>
      </c>
      <c r="AC131" s="1">
        <v>220</v>
      </c>
      <c r="AD131" s="1">
        <v>286</v>
      </c>
      <c r="AE131" s="1">
        <v>57</v>
      </c>
      <c r="AF131" s="1">
        <v>74</v>
      </c>
      <c r="AG131" s="1">
        <v>36</v>
      </c>
      <c r="AH131" s="1">
        <v>46</v>
      </c>
      <c r="AI131" s="1">
        <v>16</v>
      </c>
      <c r="AJ131">
        <v>104</v>
      </c>
    </row>
    <row r="132" spans="1:36" x14ac:dyDescent="0.15">
      <c r="A132">
        <v>105</v>
      </c>
      <c r="B132" s="1">
        <f t="shared" si="280"/>
        <v>378</v>
      </c>
      <c r="C132" s="1">
        <f t="shared" si="281"/>
        <v>491</v>
      </c>
      <c r="D132" s="1">
        <f t="shared" si="282"/>
        <v>325</v>
      </c>
      <c r="E132" s="1">
        <f t="shared" si="283"/>
        <v>423</v>
      </c>
      <c r="F132" s="1">
        <f t="shared" si="284"/>
        <v>339</v>
      </c>
      <c r="G132" s="1">
        <f t="shared" si="285"/>
        <v>441</v>
      </c>
      <c r="H132">
        <f t="shared" si="286"/>
        <v>131</v>
      </c>
      <c r="I132">
        <f t="shared" si="287"/>
        <v>170</v>
      </c>
      <c r="J132">
        <f t="shared" si="288"/>
        <v>220</v>
      </c>
      <c r="K132">
        <f t="shared" si="289"/>
        <v>286</v>
      </c>
      <c r="L132">
        <f t="shared" si="290"/>
        <v>36</v>
      </c>
      <c r="M132">
        <f t="shared" si="291"/>
        <v>46</v>
      </c>
      <c r="N132">
        <f t="shared" si="292"/>
        <v>143</v>
      </c>
      <c r="O132" s="1">
        <v>378</v>
      </c>
      <c r="P132" s="1">
        <v>491</v>
      </c>
      <c r="Q132" s="1">
        <v>325</v>
      </c>
      <c r="R132" s="1">
        <v>423</v>
      </c>
      <c r="S132" s="1">
        <v>57</v>
      </c>
      <c r="T132" s="1">
        <v>74</v>
      </c>
      <c r="U132" s="1">
        <v>110</v>
      </c>
      <c r="V132" s="1">
        <v>143</v>
      </c>
      <c r="W132" s="1">
        <v>131</v>
      </c>
      <c r="X132" s="1">
        <v>170</v>
      </c>
      <c r="Y132" s="1">
        <v>168</v>
      </c>
      <c r="Z132" s="1">
        <v>218</v>
      </c>
      <c r="AA132" s="1">
        <v>57</v>
      </c>
      <c r="AB132" s="1">
        <v>75</v>
      </c>
      <c r="AC132" s="1">
        <v>220</v>
      </c>
      <c r="AD132" s="1">
        <v>286</v>
      </c>
      <c r="AE132" s="1">
        <v>57</v>
      </c>
      <c r="AF132" s="1">
        <v>74</v>
      </c>
      <c r="AG132" s="1">
        <v>36</v>
      </c>
      <c r="AH132" s="1">
        <v>46</v>
      </c>
      <c r="AI132" s="1">
        <v>17</v>
      </c>
      <c r="AJ132">
        <v>105</v>
      </c>
    </row>
    <row r="133" spans="1:36" x14ac:dyDescent="0.15">
      <c r="A133">
        <v>106</v>
      </c>
      <c r="B133" s="1">
        <f t="shared" si="280"/>
        <v>378</v>
      </c>
      <c r="C133" s="1">
        <f t="shared" si="281"/>
        <v>491</v>
      </c>
      <c r="D133" s="1">
        <f t="shared" si="282"/>
        <v>325</v>
      </c>
      <c r="E133" s="1">
        <f t="shared" si="283"/>
        <v>423</v>
      </c>
      <c r="F133" s="1">
        <f t="shared" si="284"/>
        <v>339</v>
      </c>
      <c r="G133" s="1">
        <f t="shared" si="285"/>
        <v>441</v>
      </c>
      <c r="H133">
        <f t="shared" si="286"/>
        <v>131</v>
      </c>
      <c r="I133">
        <f t="shared" si="287"/>
        <v>170</v>
      </c>
      <c r="J133">
        <f t="shared" si="288"/>
        <v>220</v>
      </c>
      <c r="K133">
        <f t="shared" si="289"/>
        <v>286</v>
      </c>
      <c r="L133">
        <f t="shared" si="290"/>
        <v>36</v>
      </c>
      <c r="M133">
        <f t="shared" si="291"/>
        <v>46</v>
      </c>
      <c r="N133">
        <f t="shared" si="292"/>
        <v>143</v>
      </c>
      <c r="O133" s="1">
        <v>378</v>
      </c>
      <c r="P133" s="1">
        <v>491</v>
      </c>
      <c r="Q133" s="1">
        <v>325</v>
      </c>
      <c r="R133" s="1">
        <v>423</v>
      </c>
      <c r="S133" s="1">
        <v>57</v>
      </c>
      <c r="T133" s="1">
        <v>74</v>
      </c>
      <c r="U133" s="1">
        <v>110</v>
      </c>
      <c r="V133" s="1">
        <v>143</v>
      </c>
      <c r="W133" s="1">
        <v>131</v>
      </c>
      <c r="X133" s="1">
        <v>170</v>
      </c>
      <c r="Y133" s="1">
        <v>168</v>
      </c>
      <c r="Z133" s="1">
        <v>218</v>
      </c>
      <c r="AA133" s="1">
        <v>57</v>
      </c>
      <c r="AB133" s="1">
        <v>75</v>
      </c>
      <c r="AC133" s="1">
        <v>220</v>
      </c>
      <c r="AD133" s="1">
        <v>286</v>
      </c>
      <c r="AE133" s="1">
        <v>57</v>
      </c>
      <c r="AF133" s="1">
        <v>74</v>
      </c>
      <c r="AG133" s="1">
        <v>36</v>
      </c>
      <c r="AH133" s="1">
        <v>46</v>
      </c>
      <c r="AI133" s="1">
        <v>17</v>
      </c>
      <c r="AJ133">
        <v>106</v>
      </c>
    </row>
    <row r="134" spans="1:36" x14ac:dyDescent="0.15">
      <c r="A134">
        <v>107</v>
      </c>
      <c r="B134" s="1">
        <f t="shared" si="280"/>
        <v>378</v>
      </c>
      <c r="C134" s="1">
        <f t="shared" si="281"/>
        <v>491</v>
      </c>
      <c r="D134" s="1">
        <f t="shared" si="282"/>
        <v>325</v>
      </c>
      <c r="E134" s="1">
        <f t="shared" si="283"/>
        <v>423</v>
      </c>
      <c r="F134" s="1">
        <f t="shared" si="284"/>
        <v>339</v>
      </c>
      <c r="G134" s="1">
        <f t="shared" si="285"/>
        <v>441</v>
      </c>
      <c r="H134">
        <f t="shared" si="286"/>
        <v>131</v>
      </c>
      <c r="I134">
        <f t="shared" si="287"/>
        <v>170</v>
      </c>
      <c r="J134">
        <f t="shared" si="288"/>
        <v>220</v>
      </c>
      <c r="K134">
        <f t="shared" si="289"/>
        <v>286</v>
      </c>
      <c r="L134">
        <f t="shared" si="290"/>
        <v>36</v>
      </c>
      <c r="M134">
        <f t="shared" si="291"/>
        <v>46</v>
      </c>
      <c r="N134">
        <f t="shared" si="292"/>
        <v>143</v>
      </c>
      <c r="O134" s="1">
        <v>378</v>
      </c>
      <c r="P134" s="1">
        <v>491</v>
      </c>
      <c r="Q134" s="1">
        <v>325</v>
      </c>
      <c r="R134" s="1">
        <v>423</v>
      </c>
      <c r="S134" s="1">
        <v>57</v>
      </c>
      <c r="T134" s="1">
        <v>74</v>
      </c>
      <c r="U134" s="1">
        <v>110</v>
      </c>
      <c r="V134" s="1">
        <v>143</v>
      </c>
      <c r="W134" s="1">
        <v>131</v>
      </c>
      <c r="X134" s="1">
        <v>170</v>
      </c>
      <c r="Y134" s="1">
        <v>168</v>
      </c>
      <c r="Z134" s="1">
        <v>218</v>
      </c>
      <c r="AA134" s="1">
        <v>57</v>
      </c>
      <c r="AB134" s="1">
        <v>75</v>
      </c>
      <c r="AC134" s="1">
        <v>220</v>
      </c>
      <c r="AD134" s="1">
        <v>286</v>
      </c>
      <c r="AE134" s="1">
        <v>57</v>
      </c>
      <c r="AF134" s="1">
        <v>74</v>
      </c>
      <c r="AG134" s="1">
        <v>36</v>
      </c>
      <c r="AH134" s="1">
        <v>46</v>
      </c>
      <c r="AI134" s="1">
        <v>17</v>
      </c>
      <c r="AJ134">
        <v>107</v>
      </c>
    </row>
    <row r="135" spans="1:36" x14ac:dyDescent="0.15">
      <c r="A135">
        <v>108</v>
      </c>
      <c r="B135" s="1">
        <f t="shared" si="280"/>
        <v>378</v>
      </c>
      <c r="C135" s="1">
        <f t="shared" si="281"/>
        <v>491</v>
      </c>
      <c r="D135" s="1">
        <f t="shared" si="282"/>
        <v>325</v>
      </c>
      <c r="E135" s="1">
        <f t="shared" si="283"/>
        <v>423</v>
      </c>
      <c r="F135" s="1">
        <f t="shared" si="284"/>
        <v>339</v>
      </c>
      <c r="G135" s="1">
        <f t="shared" si="285"/>
        <v>441</v>
      </c>
      <c r="H135">
        <f t="shared" si="286"/>
        <v>131</v>
      </c>
      <c r="I135">
        <f t="shared" si="287"/>
        <v>170</v>
      </c>
      <c r="J135">
        <f t="shared" si="288"/>
        <v>220</v>
      </c>
      <c r="K135">
        <f t="shared" si="289"/>
        <v>286</v>
      </c>
      <c r="L135">
        <f t="shared" si="290"/>
        <v>36</v>
      </c>
      <c r="M135">
        <f t="shared" si="291"/>
        <v>46</v>
      </c>
      <c r="N135">
        <f t="shared" si="292"/>
        <v>143</v>
      </c>
      <c r="O135" s="1">
        <v>378</v>
      </c>
      <c r="P135" s="1">
        <v>491</v>
      </c>
      <c r="Q135" s="1">
        <v>325</v>
      </c>
      <c r="R135" s="1">
        <v>423</v>
      </c>
      <c r="S135" s="1">
        <v>57</v>
      </c>
      <c r="T135" s="1">
        <v>74</v>
      </c>
      <c r="U135" s="1">
        <v>110</v>
      </c>
      <c r="V135" s="1">
        <v>143</v>
      </c>
      <c r="W135" s="1">
        <v>131</v>
      </c>
      <c r="X135" s="1">
        <v>170</v>
      </c>
      <c r="Y135" s="1">
        <v>168</v>
      </c>
      <c r="Z135" s="1">
        <v>218</v>
      </c>
      <c r="AA135" s="1">
        <v>57</v>
      </c>
      <c r="AB135" s="1">
        <v>75</v>
      </c>
      <c r="AC135" s="1">
        <v>220</v>
      </c>
      <c r="AD135" s="1">
        <v>286</v>
      </c>
      <c r="AE135" s="1">
        <v>57</v>
      </c>
      <c r="AF135" s="1">
        <v>74</v>
      </c>
      <c r="AG135" s="1">
        <v>36</v>
      </c>
      <c r="AH135" s="1">
        <v>46</v>
      </c>
      <c r="AI135" s="1">
        <v>17</v>
      </c>
      <c r="AJ135">
        <v>108</v>
      </c>
    </row>
    <row r="136" spans="1:36" x14ac:dyDescent="0.15">
      <c r="A136">
        <v>109</v>
      </c>
      <c r="B136" s="1">
        <f t="shared" si="280"/>
        <v>378</v>
      </c>
      <c r="C136" s="1">
        <f t="shared" si="281"/>
        <v>491</v>
      </c>
      <c r="D136" s="1">
        <f t="shared" si="282"/>
        <v>325</v>
      </c>
      <c r="E136" s="1">
        <f t="shared" si="283"/>
        <v>423</v>
      </c>
      <c r="F136" s="1">
        <f t="shared" si="284"/>
        <v>339</v>
      </c>
      <c r="G136" s="1">
        <f t="shared" si="285"/>
        <v>441</v>
      </c>
      <c r="H136">
        <f t="shared" si="286"/>
        <v>131</v>
      </c>
      <c r="I136">
        <f t="shared" si="287"/>
        <v>170</v>
      </c>
      <c r="J136">
        <f t="shared" si="288"/>
        <v>220</v>
      </c>
      <c r="K136">
        <f t="shared" si="289"/>
        <v>286</v>
      </c>
      <c r="L136">
        <f t="shared" si="290"/>
        <v>36</v>
      </c>
      <c r="M136">
        <f t="shared" si="291"/>
        <v>46</v>
      </c>
      <c r="N136">
        <f t="shared" si="292"/>
        <v>143</v>
      </c>
      <c r="O136" s="1">
        <v>378</v>
      </c>
      <c r="P136" s="1">
        <v>491</v>
      </c>
      <c r="Q136" s="1">
        <v>325</v>
      </c>
      <c r="R136" s="1">
        <v>423</v>
      </c>
      <c r="S136" s="1">
        <v>57</v>
      </c>
      <c r="T136" s="1">
        <v>74</v>
      </c>
      <c r="U136" s="1">
        <v>110</v>
      </c>
      <c r="V136" s="1">
        <v>143</v>
      </c>
      <c r="W136" s="1">
        <v>131</v>
      </c>
      <c r="X136" s="1">
        <v>170</v>
      </c>
      <c r="Y136" s="1">
        <v>168</v>
      </c>
      <c r="Z136" s="1">
        <v>218</v>
      </c>
      <c r="AA136" s="1">
        <v>57</v>
      </c>
      <c r="AB136" s="1">
        <v>75</v>
      </c>
      <c r="AC136" s="1">
        <v>220</v>
      </c>
      <c r="AD136" s="1">
        <v>286</v>
      </c>
      <c r="AE136" s="1">
        <v>57</v>
      </c>
      <c r="AF136" s="1">
        <v>74</v>
      </c>
      <c r="AG136" s="1">
        <v>36</v>
      </c>
      <c r="AH136" s="1">
        <v>46</v>
      </c>
      <c r="AI136" s="1">
        <v>17</v>
      </c>
      <c r="AJ136">
        <v>109</v>
      </c>
    </row>
    <row r="137" spans="1:36" x14ac:dyDescent="0.15">
      <c r="A137">
        <v>110</v>
      </c>
      <c r="B137" s="1">
        <f t="shared" si="20"/>
        <v>414</v>
      </c>
      <c r="C137" s="1">
        <f t="shared" si="21"/>
        <v>538</v>
      </c>
      <c r="D137" s="1">
        <f t="shared" si="22"/>
        <v>357</v>
      </c>
      <c r="E137" s="1">
        <f t="shared" si="23"/>
        <v>464</v>
      </c>
      <c r="F137" s="1">
        <f t="shared" si="24"/>
        <v>372</v>
      </c>
      <c r="G137" s="1">
        <f t="shared" si="25"/>
        <v>481</v>
      </c>
      <c r="H137">
        <f t="shared" si="26"/>
        <v>143</v>
      </c>
      <c r="I137">
        <f t="shared" si="27"/>
        <v>186</v>
      </c>
      <c r="J137">
        <f t="shared" si="28"/>
        <v>241</v>
      </c>
      <c r="K137">
        <f t="shared" si="29"/>
        <v>313</v>
      </c>
      <c r="L137">
        <f t="shared" si="30"/>
        <v>39</v>
      </c>
      <c r="M137">
        <f t="shared" si="31"/>
        <v>50</v>
      </c>
      <c r="N137">
        <f t="shared" si="32"/>
        <v>156</v>
      </c>
      <c r="O137" s="1">
        <v>414</v>
      </c>
      <c r="P137" s="1">
        <v>538</v>
      </c>
      <c r="Q137" s="1">
        <v>357</v>
      </c>
      <c r="R137" s="1">
        <v>464</v>
      </c>
      <c r="S137" s="1">
        <v>63</v>
      </c>
      <c r="T137" s="1">
        <v>81</v>
      </c>
      <c r="U137" s="1">
        <v>120</v>
      </c>
      <c r="V137" s="1">
        <v>156</v>
      </c>
      <c r="W137" s="1">
        <v>143</v>
      </c>
      <c r="X137" s="1">
        <v>186</v>
      </c>
      <c r="Y137" s="1">
        <v>183</v>
      </c>
      <c r="Z137" s="1">
        <v>238</v>
      </c>
      <c r="AA137" s="1">
        <v>63</v>
      </c>
      <c r="AB137" s="1">
        <v>81</v>
      </c>
      <c r="AC137" s="1">
        <v>241</v>
      </c>
      <c r="AD137" s="1">
        <v>313</v>
      </c>
      <c r="AE137" s="1">
        <v>63</v>
      </c>
      <c r="AF137" s="1">
        <v>81</v>
      </c>
      <c r="AG137" s="1">
        <v>39</v>
      </c>
      <c r="AH137" s="1">
        <v>50</v>
      </c>
      <c r="AI137" s="1">
        <v>18</v>
      </c>
      <c r="AJ137">
        <v>110</v>
      </c>
    </row>
    <row r="138" spans="1:36" x14ac:dyDescent="0.15">
      <c r="A138">
        <v>111</v>
      </c>
      <c r="B138" s="1">
        <f t="shared" ref="B138:B139" si="293">O138</f>
        <v>414</v>
      </c>
      <c r="C138" s="1">
        <f t="shared" ref="C138:C139" si="294">P138</f>
        <v>538</v>
      </c>
      <c r="D138" s="1">
        <f t="shared" ref="D138:D139" si="295">Q138</f>
        <v>357</v>
      </c>
      <c r="E138" s="1">
        <f t="shared" ref="E138:E139" si="296">R138</f>
        <v>464</v>
      </c>
      <c r="F138" s="1">
        <f t="shared" ref="F138:F139" si="297">S138+Y138+AA138+AE138</f>
        <v>372</v>
      </c>
      <c r="G138" s="1">
        <f t="shared" ref="G138:G139" si="298">T138+Z138+AB138+AF138</f>
        <v>481</v>
      </c>
      <c r="H138">
        <f t="shared" ref="H138:H139" si="299">W138</f>
        <v>143</v>
      </c>
      <c r="I138">
        <f t="shared" ref="I138:I139" si="300">X138</f>
        <v>186</v>
      </c>
      <c r="J138">
        <f t="shared" ref="J138:J139" si="301">AC138</f>
        <v>241</v>
      </c>
      <c r="K138">
        <f t="shared" ref="K138:K139" si="302">AD138</f>
        <v>313</v>
      </c>
      <c r="L138">
        <f t="shared" ref="L138:L139" si="303">AG138</f>
        <v>39</v>
      </c>
      <c r="M138">
        <f t="shared" ref="M138:M139" si="304">AH138</f>
        <v>50</v>
      </c>
      <c r="N138">
        <f t="shared" ref="N138:N139" si="305">V138</f>
        <v>156</v>
      </c>
      <c r="O138" s="1">
        <v>414</v>
      </c>
      <c r="P138" s="1">
        <v>538</v>
      </c>
      <c r="Q138" s="1">
        <v>357</v>
      </c>
      <c r="R138" s="1">
        <v>464</v>
      </c>
      <c r="S138" s="1">
        <v>63</v>
      </c>
      <c r="T138" s="1">
        <v>81</v>
      </c>
      <c r="U138" s="1">
        <v>120</v>
      </c>
      <c r="V138" s="1">
        <v>156</v>
      </c>
      <c r="W138" s="1">
        <v>143</v>
      </c>
      <c r="X138" s="1">
        <v>186</v>
      </c>
      <c r="Y138" s="1">
        <v>183</v>
      </c>
      <c r="Z138" s="1">
        <v>238</v>
      </c>
      <c r="AA138" s="1">
        <v>63</v>
      </c>
      <c r="AB138" s="1">
        <v>81</v>
      </c>
      <c r="AC138" s="1">
        <v>241</v>
      </c>
      <c r="AD138" s="1">
        <v>313</v>
      </c>
      <c r="AE138" s="1">
        <v>63</v>
      </c>
      <c r="AF138" s="1">
        <v>81</v>
      </c>
      <c r="AG138" s="1">
        <v>39</v>
      </c>
      <c r="AH138" s="1">
        <v>50</v>
      </c>
      <c r="AI138" s="1">
        <v>18</v>
      </c>
      <c r="AJ138">
        <v>111</v>
      </c>
    </row>
    <row r="139" spans="1:36" x14ac:dyDescent="0.15">
      <c r="A139">
        <v>112</v>
      </c>
      <c r="B139" s="1">
        <f t="shared" si="293"/>
        <v>414</v>
      </c>
      <c r="C139" s="1">
        <f t="shared" si="294"/>
        <v>538</v>
      </c>
      <c r="D139" s="1">
        <f t="shared" si="295"/>
        <v>357</v>
      </c>
      <c r="E139" s="1">
        <f t="shared" si="296"/>
        <v>464</v>
      </c>
      <c r="F139" s="1">
        <f t="shared" si="297"/>
        <v>372</v>
      </c>
      <c r="G139" s="1">
        <f t="shared" si="298"/>
        <v>481</v>
      </c>
      <c r="H139">
        <f t="shared" si="299"/>
        <v>143</v>
      </c>
      <c r="I139">
        <f t="shared" si="300"/>
        <v>186</v>
      </c>
      <c r="J139">
        <f t="shared" si="301"/>
        <v>241</v>
      </c>
      <c r="K139">
        <f t="shared" si="302"/>
        <v>313</v>
      </c>
      <c r="L139">
        <f t="shared" si="303"/>
        <v>39</v>
      </c>
      <c r="M139">
        <f t="shared" si="304"/>
        <v>50</v>
      </c>
      <c r="N139">
        <f t="shared" si="305"/>
        <v>156</v>
      </c>
      <c r="O139" s="1">
        <v>414</v>
      </c>
      <c r="P139" s="1">
        <v>538</v>
      </c>
      <c r="Q139" s="1">
        <v>357</v>
      </c>
      <c r="R139" s="1">
        <v>464</v>
      </c>
      <c r="S139" s="1">
        <v>63</v>
      </c>
      <c r="T139" s="1">
        <v>81</v>
      </c>
      <c r="U139" s="1">
        <v>120</v>
      </c>
      <c r="V139" s="1">
        <v>156</v>
      </c>
      <c r="W139" s="1">
        <v>143</v>
      </c>
      <c r="X139" s="1">
        <v>186</v>
      </c>
      <c r="Y139" s="1">
        <v>183</v>
      </c>
      <c r="Z139" s="1">
        <v>238</v>
      </c>
      <c r="AA139" s="1">
        <v>63</v>
      </c>
      <c r="AB139" s="1">
        <v>81</v>
      </c>
      <c r="AC139" s="1">
        <v>241</v>
      </c>
      <c r="AD139" s="1">
        <v>313</v>
      </c>
      <c r="AE139" s="1">
        <v>63</v>
      </c>
      <c r="AF139" s="1">
        <v>81</v>
      </c>
      <c r="AG139" s="1">
        <v>39</v>
      </c>
      <c r="AH139" s="1">
        <v>50</v>
      </c>
      <c r="AI139" s="1">
        <v>18</v>
      </c>
      <c r="AJ139">
        <v>112</v>
      </c>
    </row>
    <row r="140" spans="1:36" x14ac:dyDescent="0.15">
      <c r="A140">
        <v>113</v>
      </c>
      <c r="B140" s="1">
        <f t="shared" ref="B140:B146" si="306">O140</f>
        <v>414</v>
      </c>
      <c r="C140" s="1">
        <f t="shared" ref="C140:C146" si="307">P140</f>
        <v>538</v>
      </c>
      <c r="D140" s="1">
        <f t="shared" ref="D140:D146" si="308">Q140</f>
        <v>357</v>
      </c>
      <c r="E140" s="1">
        <f t="shared" ref="E140:E146" si="309">R140</f>
        <v>464</v>
      </c>
      <c r="F140" s="1">
        <f t="shared" ref="F140:F146" si="310">S140+Y140+AA140+AE140</f>
        <v>372</v>
      </c>
      <c r="G140" s="1">
        <f t="shared" ref="G140:G146" si="311">T140+Z140+AB140+AF140</f>
        <v>481</v>
      </c>
      <c r="H140">
        <f t="shared" ref="H140:H146" si="312">W140</f>
        <v>143</v>
      </c>
      <c r="I140">
        <f t="shared" ref="I140:I146" si="313">X140</f>
        <v>186</v>
      </c>
      <c r="J140">
        <f t="shared" ref="J140:J146" si="314">AC140</f>
        <v>241</v>
      </c>
      <c r="K140">
        <f t="shared" ref="K140:K146" si="315">AD140</f>
        <v>313</v>
      </c>
      <c r="L140">
        <f t="shared" ref="L140:L146" si="316">AG140</f>
        <v>39</v>
      </c>
      <c r="M140">
        <f t="shared" ref="M140:M146" si="317">AH140</f>
        <v>50</v>
      </c>
      <c r="N140">
        <f t="shared" ref="N140:N146" si="318">V140</f>
        <v>156</v>
      </c>
      <c r="O140" s="1">
        <v>414</v>
      </c>
      <c r="P140" s="1">
        <v>538</v>
      </c>
      <c r="Q140" s="1">
        <v>357</v>
      </c>
      <c r="R140" s="1">
        <v>464</v>
      </c>
      <c r="S140" s="1">
        <v>63</v>
      </c>
      <c r="T140" s="1">
        <v>81</v>
      </c>
      <c r="U140" s="1">
        <v>120</v>
      </c>
      <c r="V140" s="1">
        <v>156</v>
      </c>
      <c r="W140" s="1">
        <v>143</v>
      </c>
      <c r="X140" s="1">
        <v>186</v>
      </c>
      <c r="Y140" s="1">
        <v>183</v>
      </c>
      <c r="Z140" s="1">
        <v>238</v>
      </c>
      <c r="AA140" s="1">
        <v>63</v>
      </c>
      <c r="AB140" s="1">
        <v>81</v>
      </c>
      <c r="AC140" s="1">
        <v>241</v>
      </c>
      <c r="AD140" s="1">
        <v>313</v>
      </c>
      <c r="AE140" s="1">
        <v>63</v>
      </c>
      <c r="AF140" s="1">
        <v>81</v>
      </c>
      <c r="AG140" s="1">
        <v>39</v>
      </c>
      <c r="AH140" s="1">
        <v>50</v>
      </c>
      <c r="AI140" s="1">
        <v>18</v>
      </c>
      <c r="AJ140">
        <v>113</v>
      </c>
    </row>
    <row r="141" spans="1:36" x14ac:dyDescent="0.15">
      <c r="A141">
        <v>114</v>
      </c>
      <c r="B141" s="1">
        <f t="shared" si="306"/>
        <v>414</v>
      </c>
      <c r="C141" s="1">
        <f t="shared" si="307"/>
        <v>538</v>
      </c>
      <c r="D141" s="1">
        <f t="shared" si="308"/>
        <v>357</v>
      </c>
      <c r="E141" s="1">
        <f t="shared" si="309"/>
        <v>464</v>
      </c>
      <c r="F141" s="1">
        <f t="shared" si="310"/>
        <v>372</v>
      </c>
      <c r="G141" s="1">
        <f t="shared" si="311"/>
        <v>481</v>
      </c>
      <c r="H141">
        <f t="shared" si="312"/>
        <v>143</v>
      </c>
      <c r="I141">
        <f t="shared" si="313"/>
        <v>186</v>
      </c>
      <c r="J141">
        <f t="shared" si="314"/>
        <v>241</v>
      </c>
      <c r="K141">
        <f t="shared" si="315"/>
        <v>313</v>
      </c>
      <c r="L141">
        <f t="shared" si="316"/>
        <v>39</v>
      </c>
      <c r="M141">
        <f t="shared" si="317"/>
        <v>50</v>
      </c>
      <c r="N141">
        <f t="shared" si="318"/>
        <v>156</v>
      </c>
      <c r="O141" s="1">
        <v>414</v>
      </c>
      <c r="P141" s="1">
        <v>538</v>
      </c>
      <c r="Q141" s="1">
        <v>357</v>
      </c>
      <c r="R141" s="1">
        <v>464</v>
      </c>
      <c r="S141" s="1">
        <v>63</v>
      </c>
      <c r="T141" s="1">
        <v>81</v>
      </c>
      <c r="U141" s="1">
        <v>120</v>
      </c>
      <c r="V141" s="1">
        <v>156</v>
      </c>
      <c r="W141" s="1">
        <v>143</v>
      </c>
      <c r="X141" s="1">
        <v>186</v>
      </c>
      <c r="Y141" s="1">
        <v>183</v>
      </c>
      <c r="Z141" s="1">
        <v>238</v>
      </c>
      <c r="AA141" s="1">
        <v>63</v>
      </c>
      <c r="AB141" s="1">
        <v>81</v>
      </c>
      <c r="AC141" s="1">
        <v>241</v>
      </c>
      <c r="AD141" s="1">
        <v>313</v>
      </c>
      <c r="AE141" s="1">
        <v>63</v>
      </c>
      <c r="AF141" s="1">
        <v>81</v>
      </c>
      <c r="AG141" s="1">
        <v>39</v>
      </c>
      <c r="AH141" s="1">
        <v>50</v>
      </c>
      <c r="AI141" s="1">
        <v>18</v>
      </c>
      <c r="AJ141">
        <v>114</v>
      </c>
    </row>
    <row r="142" spans="1:36" x14ac:dyDescent="0.15">
      <c r="A142">
        <v>115</v>
      </c>
      <c r="B142" s="1">
        <f t="shared" si="306"/>
        <v>414</v>
      </c>
      <c r="C142" s="1">
        <f t="shared" si="307"/>
        <v>538</v>
      </c>
      <c r="D142" s="1">
        <f t="shared" si="308"/>
        <v>357</v>
      </c>
      <c r="E142" s="1">
        <f t="shared" si="309"/>
        <v>464</v>
      </c>
      <c r="F142" s="1">
        <f t="shared" si="310"/>
        <v>372</v>
      </c>
      <c r="G142" s="1">
        <f t="shared" si="311"/>
        <v>481</v>
      </c>
      <c r="H142">
        <f t="shared" si="312"/>
        <v>143</v>
      </c>
      <c r="I142">
        <f t="shared" si="313"/>
        <v>186</v>
      </c>
      <c r="J142">
        <f t="shared" si="314"/>
        <v>241</v>
      </c>
      <c r="K142">
        <f t="shared" si="315"/>
        <v>313</v>
      </c>
      <c r="L142">
        <f t="shared" si="316"/>
        <v>39</v>
      </c>
      <c r="M142">
        <f t="shared" si="317"/>
        <v>50</v>
      </c>
      <c r="N142">
        <f t="shared" si="318"/>
        <v>156</v>
      </c>
      <c r="O142" s="1">
        <v>414</v>
      </c>
      <c r="P142" s="1">
        <v>538</v>
      </c>
      <c r="Q142" s="1">
        <v>357</v>
      </c>
      <c r="R142" s="1">
        <v>464</v>
      </c>
      <c r="S142" s="1">
        <v>63</v>
      </c>
      <c r="T142" s="1">
        <v>81</v>
      </c>
      <c r="U142" s="1">
        <v>120</v>
      </c>
      <c r="V142" s="1">
        <v>156</v>
      </c>
      <c r="W142" s="1">
        <v>143</v>
      </c>
      <c r="X142" s="1">
        <v>186</v>
      </c>
      <c r="Y142" s="1">
        <v>183</v>
      </c>
      <c r="Z142" s="1">
        <v>238</v>
      </c>
      <c r="AA142" s="1">
        <v>63</v>
      </c>
      <c r="AB142" s="1">
        <v>81</v>
      </c>
      <c r="AC142" s="1">
        <v>241</v>
      </c>
      <c r="AD142" s="1">
        <v>313</v>
      </c>
      <c r="AE142" s="1">
        <v>63</v>
      </c>
      <c r="AF142" s="1">
        <v>81</v>
      </c>
      <c r="AG142" s="1">
        <v>39</v>
      </c>
      <c r="AH142" s="1">
        <v>50</v>
      </c>
      <c r="AI142" s="1">
        <v>19</v>
      </c>
      <c r="AJ142">
        <v>115</v>
      </c>
    </row>
    <row r="143" spans="1:36" x14ac:dyDescent="0.15">
      <c r="A143">
        <v>116</v>
      </c>
      <c r="B143" s="1">
        <f t="shared" si="306"/>
        <v>414</v>
      </c>
      <c r="C143" s="1">
        <f t="shared" si="307"/>
        <v>538</v>
      </c>
      <c r="D143" s="1">
        <f t="shared" si="308"/>
        <v>357</v>
      </c>
      <c r="E143" s="1">
        <f t="shared" si="309"/>
        <v>464</v>
      </c>
      <c r="F143" s="1">
        <f t="shared" si="310"/>
        <v>372</v>
      </c>
      <c r="G143" s="1">
        <f t="shared" si="311"/>
        <v>481</v>
      </c>
      <c r="H143">
        <f t="shared" si="312"/>
        <v>143</v>
      </c>
      <c r="I143">
        <f t="shared" si="313"/>
        <v>186</v>
      </c>
      <c r="J143">
        <f t="shared" si="314"/>
        <v>241</v>
      </c>
      <c r="K143">
        <f t="shared" si="315"/>
        <v>313</v>
      </c>
      <c r="L143">
        <f t="shared" si="316"/>
        <v>39</v>
      </c>
      <c r="M143">
        <f t="shared" si="317"/>
        <v>50</v>
      </c>
      <c r="N143">
        <f t="shared" si="318"/>
        <v>156</v>
      </c>
      <c r="O143" s="1">
        <v>414</v>
      </c>
      <c r="P143" s="1">
        <v>538</v>
      </c>
      <c r="Q143" s="1">
        <v>357</v>
      </c>
      <c r="R143" s="1">
        <v>464</v>
      </c>
      <c r="S143" s="1">
        <v>63</v>
      </c>
      <c r="T143" s="1">
        <v>81</v>
      </c>
      <c r="U143" s="1">
        <v>120</v>
      </c>
      <c r="V143" s="1">
        <v>156</v>
      </c>
      <c r="W143" s="1">
        <v>143</v>
      </c>
      <c r="X143" s="1">
        <v>186</v>
      </c>
      <c r="Y143" s="1">
        <v>183</v>
      </c>
      <c r="Z143" s="1">
        <v>238</v>
      </c>
      <c r="AA143" s="1">
        <v>63</v>
      </c>
      <c r="AB143" s="1">
        <v>81</v>
      </c>
      <c r="AC143" s="1">
        <v>241</v>
      </c>
      <c r="AD143" s="1">
        <v>313</v>
      </c>
      <c r="AE143" s="1">
        <v>63</v>
      </c>
      <c r="AF143" s="1">
        <v>81</v>
      </c>
      <c r="AG143" s="1">
        <v>39</v>
      </c>
      <c r="AH143" s="1">
        <v>50</v>
      </c>
      <c r="AI143" s="1">
        <v>19</v>
      </c>
      <c r="AJ143">
        <v>116</v>
      </c>
    </row>
    <row r="144" spans="1:36" x14ac:dyDescent="0.15">
      <c r="A144">
        <v>117</v>
      </c>
      <c r="B144" s="1">
        <f t="shared" si="306"/>
        <v>414</v>
      </c>
      <c r="C144" s="1">
        <f t="shared" si="307"/>
        <v>538</v>
      </c>
      <c r="D144" s="1">
        <f t="shared" si="308"/>
        <v>357</v>
      </c>
      <c r="E144" s="1">
        <f t="shared" si="309"/>
        <v>464</v>
      </c>
      <c r="F144" s="1">
        <f t="shared" si="310"/>
        <v>372</v>
      </c>
      <c r="G144" s="1">
        <f t="shared" si="311"/>
        <v>481</v>
      </c>
      <c r="H144">
        <f t="shared" si="312"/>
        <v>143</v>
      </c>
      <c r="I144">
        <f t="shared" si="313"/>
        <v>186</v>
      </c>
      <c r="J144">
        <f t="shared" si="314"/>
        <v>241</v>
      </c>
      <c r="K144">
        <f t="shared" si="315"/>
        <v>313</v>
      </c>
      <c r="L144">
        <f t="shared" si="316"/>
        <v>39</v>
      </c>
      <c r="M144">
        <f t="shared" si="317"/>
        <v>50</v>
      </c>
      <c r="N144">
        <f t="shared" si="318"/>
        <v>156</v>
      </c>
      <c r="O144" s="1">
        <v>414</v>
      </c>
      <c r="P144" s="1">
        <v>538</v>
      </c>
      <c r="Q144" s="1">
        <v>357</v>
      </c>
      <c r="R144" s="1">
        <v>464</v>
      </c>
      <c r="S144" s="1">
        <v>63</v>
      </c>
      <c r="T144" s="1">
        <v>81</v>
      </c>
      <c r="U144" s="1">
        <v>120</v>
      </c>
      <c r="V144" s="1">
        <v>156</v>
      </c>
      <c r="W144" s="1">
        <v>143</v>
      </c>
      <c r="X144" s="1">
        <v>186</v>
      </c>
      <c r="Y144" s="1">
        <v>183</v>
      </c>
      <c r="Z144" s="1">
        <v>238</v>
      </c>
      <c r="AA144" s="1">
        <v>63</v>
      </c>
      <c r="AB144" s="1">
        <v>81</v>
      </c>
      <c r="AC144" s="1">
        <v>241</v>
      </c>
      <c r="AD144" s="1">
        <v>313</v>
      </c>
      <c r="AE144" s="1">
        <v>63</v>
      </c>
      <c r="AF144" s="1">
        <v>81</v>
      </c>
      <c r="AG144" s="1">
        <v>39</v>
      </c>
      <c r="AH144" s="1">
        <v>50</v>
      </c>
      <c r="AI144" s="1">
        <v>19</v>
      </c>
      <c r="AJ144">
        <v>117</v>
      </c>
    </row>
    <row r="145" spans="1:36" x14ac:dyDescent="0.15">
      <c r="A145">
        <v>118</v>
      </c>
      <c r="B145" s="1">
        <f t="shared" si="306"/>
        <v>414</v>
      </c>
      <c r="C145" s="1">
        <f t="shared" si="307"/>
        <v>538</v>
      </c>
      <c r="D145" s="1">
        <f t="shared" si="308"/>
        <v>357</v>
      </c>
      <c r="E145" s="1">
        <f t="shared" si="309"/>
        <v>464</v>
      </c>
      <c r="F145" s="1">
        <f t="shared" si="310"/>
        <v>372</v>
      </c>
      <c r="G145" s="1">
        <f t="shared" si="311"/>
        <v>481</v>
      </c>
      <c r="H145">
        <f t="shared" si="312"/>
        <v>143</v>
      </c>
      <c r="I145">
        <f t="shared" si="313"/>
        <v>186</v>
      </c>
      <c r="J145">
        <f t="shared" si="314"/>
        <v>241</v>
      </c>
      <c r="K145">
        <f t="shared" si="315"/>
        <v>313</v>
      </c>
      <c r="L145">
        <f t="shared" si="316"/>
        <v>39</v>
      </c>
      <c r="M145">
        <f t="shared" si="317"/>
        <v>50</v>
      </c>
      <c r="N145">
        <f t="shared" si="318"/>
        <v>156</v>
      </c>
      <c r="O145" s="1">
        <v>414</v>
      </c>
      <c r="P145" s="1">
        <v>538</v>
      </c>
      <c r="Q145" s="1">
        <v>357</v>
      </c>
      <c r="R145" s="1">
        <v>464</v>
      </c>
      <c r="S145" s="1">
        <v>63</v>
      </c>
      <c r="T145" s="1">
        <v>81</v>
      </c>
      <c r="U145" s="1">
        <v>120</v>
      </c>
      <c r="V145" s="1">
        <v>156</v>
      </c>
      <c r="W145" s="1">
        <v>143</v>
      </c>
      <c r="X145" s="1">
        <v>186</v>
      </c>
      <c r="Y145" s="1">
        <v>183</v>
      </c>
      <c r="Z145" s="1">
        <v>238</v>
      </c>
      <c r="AA145" s="1">
        <v>63</v>
      </c>
      <c r="AB145" s="1">
        <v>81</v>
      </c>
      <c r="AC145" s="1">
        <v>241</v>
      </c>
      <c r="AD145" s="1">
        <v>313</v>
      </c>
      <c r="AE145" s="1">
        <v>63</v>
      </c>
      <c r="AF145" s="1">
        <v>81</v>
      </c>
      <c r="AG145" s="1">
        <v>39</v>
      </c>
      <c r="AH145" s="1">
        <v>50</v>
      </c>
      <c r="AI145" s="1">
        <v>19</v>
      </c>
      <c r="AJ145">
        <v>118</v>
      </c>
    </row>
    <row r="146" spans="1:36" x14ac:dyDescent="0.15">
      <c r="A146">
        <v>119</v>
      </c>
      <c r="B146" s="1">
        <f t="shared" si="306"/>
        <v>414</v>
      </c>
      <c r="C146" s="1">
        <f t="shared" si="307"/>
        <v>538</v>
      </c>
      <c r="D146" s="1">
        <f t="shared" si="308"/>
        <v>357</v>
      </c>
      <c r="E146" s="1">
        <f t="shared" si="309"/>
        <v>464</v>
      </c>
      <c r="F146" s="1">
        <f t="shared" si="310"/>
        <v>372</v>
      </c>
      <c r="G146" s="1">
        <f t="shared" si="311"/>
        <v>481</v>
      </c>
      <c r="H146">
        <f t="shared" si="312"/>
        <v>143</v>
      </c>
      <c r="I146">
        <f t="shared" si="313"/>
        <v>186</v>
      </c>
      <c r="J146">
        <f t="shared" si="314"/>
        <v>241</v>
      </c>
      <c r="K146">
        <f t="shared" si="315"/>
        <v>313</v>
      </c>
      <c r="L146">
        <f t="shared" si="316"/>
        <v>39</v>
      </c>
      <c r="M146">
        <f t="shared" si="317"/>
        <v>50</v>
      </c>
      <c r="N146">
        <f t="shared" si="318"/>
        <v>156</v>
      </c>
      <c r="O146" s="1">
        <v>414</v>
      </c>
      <c r="P146" s="1">
        <v>538</v>
      </c>
      <c r="Q146" s="1">
        <v>357</v>
      </c>
      <c r="R146" s="1">
        <v>464</v>
      </c>
      <c r="S146" s="1">
        <v>63</v>
      </c>
      <c r="T146" s="1">
        <v>81</v>
      </c>
      <c r="U146" s="1">
        <v>120</v>
      </c>
      <c r="V146" s="1">
        <v>156</v>
      </c>
      <c r="W146" s="1">
        <v>143</v>
      </c>
      <c r="X146" s="1">
        <v>186</v>
      </c>
      <c r="Y146" s="1">
        <v>183</v>
      </c>
      <c r="Z146" s="1">
        <v>238</v>
      </c>
      <c r="AA146" s="1">
        <v>63</v>
      </c>
      <c r="AB146" s="1">
        <v>81</v>
      </c>
      <c r="AC146" s="1">
        <v>241</v>
      </c>
      <c r="AD146" s="1">
        <v>313</v>
      </c>
      <c r="AE146" s="1">
        <v>63</v>
      </c>
      <c r="AF146" s="1">
        <v>81</v>
      </c>
      <c r="AG146" s="1">
        <v>39</v>
      </c>
      <c r="AH146" s="1">
        <v>50</v>
      </c>
      <c r="AI146" s="1">
        <v>19</v>
      </c>
      <c r="AJ146">
        <v>119</v>
      </c>
    </row>
    <row r="147" spans="1:36" x14ac:dyDescent="0.15">
      <c r="A147">
        <v>120</v>
      </c>
      <c r="B147" s="1">
        <f t="shared" si="20"/>
        <v>451</v>
      </c>
      <c r="C147" s="1">
        <f t="shared" si="21"/>
        <v>586</v>
      </c>
      <c r="D147" s="1">
        <f t="shared" si="22"/>
        <v>388</v>
      </c>
      <c r="E147" s="1">
        <f t="shared" si="23"/>
        <v>505</v>
      </c>
      <c r="F147" s="1">
        <f t="shared" si="24"/>
        <v>403</v>
      </c>
      <c r="G147" s="1">
        <f t="shared" si="25"/>
        <v>523</v>
      </c>
      <c r="H147">
        <f t="shared" si="26"/>
        <v>156</v>
      </c>
      <c r="I147">
        <f t="shared" si="27"/>
        <v>202</v>
      </c>
      <c r="J147">
        <f t="shared" si="28"/>
        <v>262</v>
      </c>
      <c r="K147">
        <f t="shared" si="29"/>
        <v>341</v>
      </c>
      <c r="L147">
        <f t="shared" si="30"/>
        <v>43</v>
      </c>
      <c r="M147">
        <f t="shared" si="31"/>
        <v>55</v>
      </c>
      <c r="N147">
        <f t="shared" si="32"/>
        <v>170</v>
      </c>
      <c r="O147" s="1">
        <v>451</v>
      </c>
      <c r="P147" s="1">
        <v>586</v>
      </c>
      <c r="Q147" s="1">
        <v>388</v>
      </c>
      <c r="R147" s="1">
        <v>505</v>
      </c>
      <c r="S147" s="1">
        <v>68</v>
      </c>
      <c r="T147" s="1">
        <v>88</v>
      </c>
      <c r="U147" s="1">
        <v>131</v>
      </c>
      <c r="V147" s="1">
        <v>170</v>
      </c>
      <c r="W147" s="1">
        <v>156</v>
      </c>
      <c r="X147" s="1">
        <v>202</v>
      </c>
      <c r="Y147" s="1">
        <v>199</v>
      </c>
      <c r="Z147" s="1">
        <v>259</v>
      </c>
      <c r="AA147" s="1">
        <v>68</v>
      </c>
      <c r="AB147" s="1">
        <v>88</v>
      </c>
      <c r="AC147" s="1">
        <v>262</v>
      </c>
      <c r="AD147" s="1">
        <v>341</v>
      </c>
      <c r="AE147" s="1">
        <v>68</v>
      </c>
      <c r="AF147" s="1">
        <v>88</v>
      </c>
      <c r="AG147" s="1">
        <v>43</v>
      </c>
      <c r="AH147" s="1">
        <v>55</v>
      </c>
      <c r="AI147" s="1">
        <v>20</v>
      </c>
      <c r="AJ147">
        <v>120</v>
      </c>
    </row>
    <row r="148" spans="1:36" x14ac:dyDescent="0.15">
      <c r="A148">
        <v>121</v>
      </c>
      <c r="B148" s="1">
        <f t="shared" ref="B148:B149" si="319">O148</f>
        <v>451</v>
      </c>
      <c r="C148" s="1">
        <f t="shared" ref="C148:C149" si="320">P148</f>
        <v>586</v>
      </c>
      <c r="D148" s="1">
        <f t="shared" ref="D148:D149" si="321">Q148</f>
        <v>388</v>
      </c>
      <c r="E148" s="1">
        <f t="shared" ref="E148:E149" si="322">R148</f>
        <v>505</v>
      </c>
      <c r="F148" s="1">
        <f t="shared" ref="F148:F149" si="323">S148+Y148+AA148+AE148</f>
        <v>403</v>
      </c>
      <c r="G148" s="1">
        <f t="shared" ref="G148:G149" si="324">T148+Z148+AB148+AF148</f>
        <v>523</v>
      </c>
      <c r="H148">
        <f t="shared" ref="H148:H149" si="325">W148</f>
        <v>156</v>
      </c>
      <c r="I148">
        <f t="shared" ref="I148:I149" si="326">X148</f>
        <v>202</v>
      </c>
      <c r="J148">
        <f t="shared" ref="J148:J149" si="327">AC148</f>
        <v>262</v>
      </c>
      <c r="K148">
        <f t="shared" ref="K148:K149" si="328">AD148</f>
        <v>341</v>
      </c>
      <c r="L148">
        <f t="shared" ref="L148:L149" si="329">AG148</f>
        <v>43</v>
      </c>
      <c r="M148">
        <f t="shared" ref="M148:M149" si="330">AH148</f>
        <v>55</v>
      </c>
      <c r="N148">
        <f t="shared" ref="N148:N149" si="331">V148</f>
        <v>170</v>
      </c>
      <c r="O148" s="1">
        <v>451</v>
      </c>
      <c r="P148" s="1">
        <v>586</v>
      </c>
      <c r="Q148" s="1">
        <v>388</v>
      </c>
      <c r="R148" s="1">
        <v>505</v>
      </c>
      <c r="S148" s="1">
        <v>68</v>
      </c>
      <c r="T148" s="1">
        <v>88</v>
      </c>
      <c r="U148" s="1">
        <v>131</v>
      </c>
      <c r="V148" s="1">
        <v>170</v>
      </c>
      <c r="W148" s="1">
        <v>156</v>
      </c>
      <c r="X148" s="1">
        <v>202</v>
      </c>
      <c r="Y148" s="1">
        <v>199</v>
      </c>
      <c r="Z148" s="1">
        <v>259</v>
      </c>
      <c r="AA148" s="1">
        <v>68</v>
      </c>
      <c r="AB148" s="1">
        <v>88</v>
      </c>
      <c r="AC148" s="1">
        <v>262</v>
      </c>
      <c r="AD148" s="1">
        <v>341</v>
      </c>
      <c r="AE148" s="1">
        <v>68</v>
      </c>
      <c r="AF148" s="1">
        <v>88</v>
      </c>
      <c r="AG148" s="1">
        <v>43</v>
      </c>
      <c r="AH148" s="1">
        <v>55</v>
      </c>
      <c r="AI148" s="1">
        <v>20</v>
      </c>
      <c r="AJ148">
        <v>121</v>
      </c>
    </row>
    <row r="149" spans="1:36" x14ac:dyDescent="0.15">
      <c r="A149">
        <v>122</v>
      </c>
      <c r="B149" s="1">
        <f t="shared" si="319"/>
        <v>451</v>
      </c>
      <c r="C149" s="1">
        <f t="shared" si="320"/>
        <v>586</v>
      </c>
      <c r="D149" s="1">
        <f t="shared" si="321"/>
        <v>388</v>
      </c>
      <c r="E149" s="1">
        <f t="shared" si="322"/>
        <v>505</v>
      </c>
      <c r="F149" s="1">
        <f t="shared" si="323"/>
        <v>403</v>
      </c>
      <c r="G149" s="1">
        <f t="shared" si="324"/>
        <v>523</v>
      </c>
      <c r="H149">
        <f t="shared" si="325"/>
        <v>156</v>
      </c>
      <c r="I149">
        <f t="shared" si="326"/>
        <v>202</v>
      </c>
      <c r="J149">
        <f t="shared" si="327"/>
        <v>262</v>
      </c>
      <c r="K149">
        <f t="shared" si="328"/>
        <v>341</v>
      </c>
      <c r="L149">
        <f t="shared" si="329"/>
        <v>43</v>
      </c>
      <c r="M149">
        <f t="shared" si="330"/>
        <v>55</v>
      </c>
      <c r="N149">
        <f t="shared" si="331"/>
        <v>170</v>
      </c>
      <c r="O149" s="1">
        <v>451</v>
      </c>
      <c r="P149" s="1">
        <v>586</v>
      </c>
      <c r="Q149" s="1">
        <v>388</v>
      </c>
      <c r="R149" s="1">
        <v>505</v>
      </c>
      <c r="S149" s="1">
        <v>68</v>
      </c>
      <c r="T149" s="1">
        <v>88</v>
      </c>
      <c r="U149" s="1">
        <v>131</v>
      </c>
      <c r="V149" s="1">
        <v>170</v>
      </c>
      <c r="W149" s="1">
        <v>156</v>
      </c>
      <c r="X149" s="1">
        <v>202</v>
      </c>
      <c r="Y149" s="1">
        <v>199</v>
      </c>
      <c r="Z149" s="1">
        <v>259</v>
      </c>
      <c r="AA149" s="1">
        <v>68</v>
      </c>
      <c r="AB149" s="1">
        <v>88</v>
      </c>
      <c r="AC149" s="1">
        <v>262</v>
      </c>
      <c r="AD149" s="1">
        <v>341</v>
      </c>
      <c r="AE149" s="1">
        <v>68</v>
      </c>
      <c r="AF149" s="1">
        <v>88</v>
      </c>
      <c r="AG149" s="1">
        <v>43</v>
      </c>
      <c r="AH149" s="1">
        <v>55</v>
      </c>
      <c r="AI149" s="1">
        <v>20</v>
      </c>
      <c r="AJ149">
        <v>122</v>
      </c>
    </row>
    <row r="150" spans="1:36" x14ac:dyDescent="0.15">
      <c r="A150">
        <v>123</v>
      </c>
      <c r="B150" s="1">
        <f t="shared" ref="B150:B156" si="332">O150</f>
        <v>451</v>
      </c>
      <c r="C150" s="1">
        <f t="shared" ref="C150:C156" si="333">P150</f>
        <v>586</v>
      </c>
      <c r="D150" s="1">
        <f t="shared" ref="D150:D156" si="334">Q150</f>
        <v>388</v>
      </c>
      <c r="E150" s="1">
        <f t="shared" ref="E150:E156" si="335">R150</f>
        <v>505</v>
      </c>
      <c r="F150" s="1">
        <f t="shared" ref="F150:F156" si="336">S150+Y150+AA150+AE150</f>
        <v>403</v>
      </c>
      <c r="G150" s="1">
        <f t="shared" ref="G150:G156" si="337">T150+Z150+AB150+AF150</f>
        <v>523</v>
      </c>
      <c r="H150">
        <f t="shared" ref="H150:H156" si="338">W150</f>
        <v>156</v>
      </c>
      <c r="I150">
        <f t="shared" ref="I150:I156" si="339">X150</f>
        <v>202</v>
      </c>
      <c r="J150">
        <f t="shared" ref="J150:J156" si="340">AC150</f>
        <v>262</v>
      </c>
      <c r="K150">
        <f t="shared" ref="K150:K156" si="341">AD150</f>
        <v>341</v>
      </c>
      <c r="L150">
        <f t="shared" ref="L150:L156" si="342">AG150</f>
        <v>43</v>
      </c>
      <c r="M150">
        <f t="shared" ref="M150:M156" si="343">AH150</f>
        <v>55</v>
      </c>
      <c r="N150">
        <f t="shared" ref="N150:N156" si="344">V150</f>
        <v>170</v>
      </c>
      <c r="O150" s="1">
        <v>451</v>
      </c>
      <c r="P150" s="1">
        <v>586</v>
      </c>
      <c r="Q150" s="1">
        <v>388</v>
      </c>
      <c r="R150" s="1">
        <v>505</v>
      </c>
      <c r="S150" s="1">
        <v>68</v>
      </c>
      <c r="T150" s="1">
        <v>88</v>
      </c>
      <c r="U150" s="1">
        <v>131</v>
      </c>
      <c r="V150" s="1">
        <v>170</v>
      </c>
      <c r="W150" s="1">
        <v>156</v>
      </c>
      <c r="X150" s="1">
        <v>202</v>
      </c>
      <c r="Y150" s="1">
        <v>199</v>
      </c>
      <c r="Z150" s="1">
        <v>259</v>
      </c>
      <c r="AA150" s="1">
        <v>68</v>
      </c>
      <c r="AB150" s="1">
        <v>88</v>
      </c>
      <c r="AC150" s="1">
        <v>262</v>
      </c>
      <c r="AD150" s="1">
        <v>341</v>
      </c>
      <c r="AE150" s="1">
        <v>68</v>
      </c>
      <c r="AF150" s="1">
        <v>88</v>
      </c>
      <c r="AG150" s="1">
        <v>43</v>
      </c>
      <c r="AH150" s="1">
        <v>55</v>
      </c>
      <c r="AI150" s="1">
        <v>20</v>
      </c>
      <c r="AJ150">
        <v>123</v>
      </c>
    </row>
    <row r="151" spans="1:36" x14ac:dyDescent="0.15">
      <c r="A151">
        <v>124</v>
      </c>
      <c r="B151" s="1">
        <f t="shared" si="332"/>
        <v>451</v>
      </c>
      <c r="C151" s="1">
        <f t="shared" si="333"/>
        <v>586</v>
      </c>
      <c r="D151" s="1">
        <f t="shared" si="334"/>
        <v>388</v>
      </c>
      <c r="E151" s="1">
        <f t="shared" si="335"/>
        <v>505</v>
      </c>
      <c r="F151" s="1">
        <f t="shared" si="336"/>
        <v>403</v>
      </c>
      <c r="G151" s="1">
        <f t="shared" si="337"/>
        <v>523</v>
      </c>
      <c r="H151">
        <f t="shared" si="338"/>
        <v>156</v>
      </c>
      <c r="I151">
        <f t="shared" si="339"/>
        <v>202</v>
      </c>
      <c r="J151">
        <f t="shared" si="340"/>
        <v>262</v>
      </c>
      <c r="K151">
        <f t="shared" si="341"/>
        <v>341</v>
      </c>
      <c r="L151">
        <f t="shared" si="342"/>
        <v>43</v>
      </c>
      <c r="M151">
        <f t="shared" si="343"/>
        <v>55</v>
      </c>
      <c r="N151">
        <f t="shared" si="344"/>
        <v>170</v>
      </c>
      <c r="O151" s="1">
        <v>451</v>
      </c>
      <c r="P151" s="1">
        <v>586</v>
      </c>
      <c r="Q151" s="1">
        <v>388</v>
      </c>
      <c r="R151" s="1">
        <v>505</v>
      </c>
      <c r="S151" s="1">
        <v>68</v>
      </c>
      <c r="T151" s="1">
        <v>88</v>
      </c>
      <c r="U151" s="1">
        <v>131</v>
      </c>
      <c r="V151" s="1">
        <v>170</v>
      </c>
      <c r="W151" s="1">
        <v>156</v>
      </c>
      <c r="X151" s="1">
        <v>202</v>
      </c>
      <c r="Y151" s="1">
        <v>199</v>
      </c>
      <c r="Z151" s="1">
        <v>259</v>
      </c>
      <c r="AA151" s="1">
        <v>68</v>
      </c>
      <c r="AB151" s="1">
        <v>88</v>
      </c>
      <c r="AC151" s="1">
        <v>262</v>
      </c>
      <c r="AD151" s="1">
        <v>341</v>
      </c>
      <c r="AE151" s="1">
        <v>68</v>
      </c>
      <c r="AF151" s="1">
        <v>88</v>
      </c>
      <c r="AG151" s="1">
        <v>43</v>
      </c>
      <c r="AH151" s="1">
        <v>55</v>
      </c>
      <c r="AI151" s="1">
        <v>20</v>
      </c>
      <c r="AJ151">
        <v>124</v>
      </c>
    </row>
    <row r="152" spans="1:36" x14ac:dyDescent="0.15">
      <c r="A152">
        <v>125</v>
      </c>
      <c r="B152" s="1">
        <f t="shared" si="332"/>
        <v>451</v>
      </c>
      <c r="C152" s="1">
        <f t="shared" si="333"/>
        <v>586</v>
      </c>
      <c r="D152" s="1">
        <f t="shared" si="334"/>
        <v>388</v>
      </c>
      <c r="E152" s="1">
        <f t="shared" si="335"/>
        <v>505</v>
      </c>
      <c r="F152" s="1">
        <f t="shared" si="336"/>
        <v>403</v>
      </c>
      <c r="G152" s="1">
        <f t="shared" si="337"/>
        <v>523</v>
      </c>
      <c r="H152">
        <f t="shared" si="338"/>
        <v>156</v>
      </c>
      <c r="I152">
        <f t="shared" si="339"/>
        <v>202</v>
      </c>
      <c r="J152">
        <f t="shared" si="340"/>
        <v>262</v>
      </c>
      <c r="K152">
        <f t="shared" si="341"/>
        <v>341</v>
      </c>
      <c r="L152">
        <f t="shared" si="342"/>
        <v>43</v>
      </c>
      <c r="M152">
        <f t="shared" si="343"/>
        <v>55</v>
      </c>
      <c r="N152">
        <f t="shared" si="344"/>
        <v>170</v>
      </c>
      <c r="O152" s="1">
        <v>451</v>
      </c>
      <c r="P152" s="1">
        <v>586</v>
      </c>
      <c r="Q152" s="1">
        <v>388</v>
      </c>
      <c r="R152" s="1">
        <v>505</v>
      </c>
      <c r="S152" s="1">
        <v>68</v>
      </c>
      <c r="T152" s="1">
        <v>88</v>
      </c>
      <c r="U152" s="1">
        <v>131</v>
      </c>
      <c r="V152" s="1">
        <v>170</v>
      </c>
      <c r="W152" s="1">
        <v>156</v>
      </c>
      <c r="X152" s="1">
        <v>202</v>
      </c>
      <c r="Y152" s="1">
        <v>199</v>
      </c>
      <c r="Z152" s="1">
        <v>259</v>
      </c>
      <c r="AA152" s="1">
        <v>68</v>
      </c>
      <c r="AB152" s="1">
        <v>88</v>
      </c>
      <c r="AC152" s="1">
        <v>262</v>
      </c>
      <c r="AD152" s="1">
        <v>341</v>
      </c>
      <c r="AE152" s="1">
        <v>68</v>
      </c>
      <c r="AF152" s="1">
        <v>88</v>
      </c>
      <c r="AG152" s="1">
        <v>43</v>
      </c>
      <c r="AH152" s="1">
        <v>55</v>
      </c>
      <c r="AI152" s="1">
        <v>20</v>
      </c>
      <c r="AJ152">
        <v>125</v>
      </c>
    </row>
    <row r="153" spans="1:36" x14ac:dyDescent="0.15">
      <c r="A153">
        <v>126</v>
      </c>
      <c r="B153" s="1">
        <f t="shared" si="332"/>
        <v>451</v>
      </c>
      <c r="C153" s="1">
        <f t="shared" si="333"/>
        <v>586</v>
      </c>
      <c r="D153" s="1">
        <f t="shared" si="334"/>
        <v>388</v>
      </c>
      <c r="E153" s="1">
        <f t="shared" si="335"/>
        <v>505</v>
      </c>
      <c r="F153" s="1">
        <f t="shared" si="336"/>
        <v>403</v>
      </c>
      <c r="G153" s="1">
        <f t="shared" si="337"/>
        <v>523</v>
      </c>
      <c r="H153">
        <f t="shared" si="338"/>
        <v>156</v>
      </c>
      <c r="I153">
        <f t="shared" si="339"/>
        <v>202</v>
      </c>
      <c r="J153">
        <f t="shared" si="340"/>
        <v>262</v>
      </c>
      <c r="K153">
        <f t="shared" si="341"/>
        <v>341</v>
      </c>
      <c r="L153">
        <f t="shared" si="342"/>
        <v>43</v>
      </c>
      <c r="M153">
        <f t="shared" si="343"/>
        <v>55</v>
      </c>
      <c r="N153">
        <f t="shared" si="344"/>
        <v>170</v>
      </c>
      <c r="O153" s="1">
        <v>451</v>
      </c>
      <c r="P153" s="1">
        <v>586</v>
      </c>
      <c r="Q153" s="1">
        <v>388</v>
      </c>
      <c r="R153" s="1">
        <v>505</v>
      </c>
      <c r="S153" s="1">
        <v>68</v>
      </c>
      <c r="T153" s="1">
        <v>88</v>
      </c>
      <c r="U153" s="1">
        <v>131</v>
      </c>
      <c r="V153" s="1">
        <v>170</v>
      </c>
      <c r="W153" s="1">
        <v>156</v>
      </c>
      <c r="X153" s="1">
        <v>202</v>
      </c>
      <c r="Y153" s="1">
        <v>199</v>
      </c>
      <c r="Z153" s="1">
        <v>259</v>
      </c>
      <c r="AA153" s="1">
        <v>68</v>
      </c>
      <c r="AB153" s="1">
        <v>88</v>
      </c>
      <c r="AC153" s="1">
        <v>262</v>
      </c>
      <c r="AD153" s="1">
        <v>341</v>
      </c>
      <c r="AE153" s="1">
        <v>68</v>
      </c>
      <c r="AF153" s="1">
        <v>88</v>
      </c>
      <c r="AG153" s="1">
        <v>43</v>
      </c>
      <c r="AH153" s="1">
        <v>55</v>
      </c>
      <c r="AI153" s="1">
        <v>20</v>
      </c>
      <c r="AJ153">
        <v>126</v>
      </c>
    </row>
    <row r="154" spans="1:36" x14ac:dyDescent="0.15">
      <c r="A154">
        <v>127</v>
      </c>
      <c r="B154" s="1">
        <f t="shared" si="332"/>
        <v>451</v>
      </c>
      <c r="C154" s="1">
        <f t="shared" si="333"/>
        <v>586</v>
      </c>
      <c r="D154" s="1">
        <f t="shared" si="334"/>
        <v>388</v>
      </c>
      <c r="E154" s="1">
        <f t="shared" si="335"/>
        <v>505</v>
      </c>
      <c r="F154" s="1">
        <f t="shared" si="336"/>
        <v>403</v>
      </c>
      <c r="G154" s="1">
        <f t="shared" si="337"/>
        <v>523</v>
      </c>
      <c r="H154">
        <f t="shared" si="338"/>
        <v>156</v>
      </c>
      <c r="I154">
        <f t="shared" si="339"/>
        <v>202</v>
      </c>
      <c r="J154">
        <f t="shared" si="340"/>
        <v>262</v>
      </c>
      <c r="K154">
        <f t="shared" si="341"/>
        <v>341</v>
      </c>
      <c r="L154">
        <f t="shared" si="342"/>
        <v>43</v>
      </c>
      <c r="M154">
        <f t="shared" si="343"/>
        <v>55</v>
      </c>
      <c r="N154">
        <f t="shared" si="344"/>
        <v>170</v>
      </c>
      <c r="O154" s="1">
        <v>451</v>
      </c>
      <c r="P154" s="1">
        <v>586</v>
      </c>
      <c r="Q154" s="1">
        <v>388</v>
      </c>
      <c r="R154" s="1">
        <v>505</v>
      </c>
      <c r="S154" s="1">
        <v>68</v>
      </c>
      <c r="T154" s="1">
        <v>88</v>
      </c>
      <c r="U154" s="1">
        <v>131</v>
      </c>
      <c r="V154" s="1">
        <v>170</v>
      </c>
      <c r="W154" s="1">
        <v>156</v>
      </c>
      <c r="X154" s="1">
        <v>202</v>
      </c>
      <c r="Y154" s="1">
        <v>199</v>
      </c>
      <c r="Z154" s="1">
        <v>259</v>
      </c>
      <c r="AA154" s="1">
        <v>68</v>
      </c>
      <c r="AB154" s="1">
        <v>88</v>
      </c>
      <c r="AC154" s="1">
        <v>262</v>
      </c>
      <c r="AD154" s="1">
        <v>341</v>
      </c>
      <c r="AE154" s="1">
        <v>68</v>
      </c>
      <c r="AF154" s="1">
        <v>88</v>
      </c>
      <c r="AG154" s="1">
        <v>43</v>
      </c>
      <c r="AH154" s="1">
        <v>55</v>
      </c>
      <c r="AI154" s="1">
        <v>20</v>
      </c>
      <c r="AJ154">
        <v>127</v>
      </c>
    </row>
    <row r="155" spans="1:36" x14ac:dyDescent="0.15">
      <c r="A155">
        <v>128</v>
      </c>
      <c r="B155" s="1">
        <f t="shared" si="332"/>
        <v>451</v>
      </c>
      <c r="C155" s="1">
        <f t="shared" si="333"/>
        <v>586</v>
      </c>
      <c r="D155" s="1">
        <f t="shared" si="334"/>
        <v>388</v>
      </c>
      <c r="E155" s="1">
        <f t="shared" si="335"/>
        <v>505</v>
      </c>
      <c r="F155" s="1">
        <f t="shared" si="336"/>
        <v>403</v>
      </c>
      <c r="G155" s="1">
        <f t="shared" si="337"/>
        <v>523</v>
      </c>
      <c r="H155">
        <f t="shared" si="338"/>
        <v>156</v>
      </c>
      <c r="I155">
        <f t="shared" si="339"/>
        <v>202</v>
      </c>
      <c r="J155">
        <f t="shared" si="340"/>
        <v>262</v>
      </c>
      <c r="K155">
        <f t="shared" si="341"/>
        <v>341</v>
      </c>
      <c r="L155">
        <f t="shared" si="342"/>
        <v>43</v>
      </c>
      <c r="M155">
        <f t="shared" si="343"/>
        <v>55</v>
      </c>
      <c r="N155">
        <f t="shared" si="344"/>
        <v>170</v>
      </c>
      <c r="O155" s="1">
        <v>451</v>
      </c>
      <c r="P155" s="1">
        <v>586</v>
      </c>
      <c r="Q155" s="1">
        <v>388</v>
      </c>
      <c r="R155" s="1">
        <v>505</v>
      </c>
      <c r="S155" s="1">
        <v>68</v>
      </c>
      <c r="T155" s="1">
        <v>88</v>
      </c>
      <c r="U155" s="1">
        <v>131</v>
      </c>
      <c r="V155" s="1">
        <v>170</v>
      </c>
      <c r="W155" s="1">
        <v>156</v>
      </c>
      <c r="X155" s="1">
        <v>202</v>
      </c>
      <c r="Y155" s="1">
        <v>199</v>
      </c>
      <c r="Z155" s="1">
        <v>259</v>
      </c>
      <c r="AA155" s="1">
        <v>68</v>
      </c>
      <c r="AB155" s="1">
        <v>88</v>
      </c>
      <c r="AC155" s="1">
        <v>262</v>
      </c>
      <c r="AD155" s="1">
        <v>341</v>
      </c>
      <c r="AE155" s="1">
        <v>68</v>
      </c>
      <c r="AF155" s="1">
        <v>88</v>
      </c>
      <c r="AG155" s="1">
        <v>43</v>
      </c>
      <c r="AH155" s="1">
        <v>55</v>
      </c>
      <c r="AI155" s="1">
        <v>20</v>
      </c>
      <c r="AJ155">
        <v>128</v>
      </c>
    </row>
    <row r="156" spans="1:36" x14ac:dyDescent="0.15">
      <c r="A156">
        <v>129</v>
      </c>
      <c r="B156" s="1">
        <f t="shared" si="332"/>
        <v>451</v>
      </c>
      <c r="C156" s="1">
        <f t="shared" si="333"/>
        <v>586</v>
      </c>
      <c r="D156" s="1">
        <f t="shared" si="334"/>
        <v>388</v>
      </c>
      <c r="E156" s="1">
        <f t="shared" si="335"/>
        <v>505</v>
      </c>
      <c r="F156" s="1">
        <f t="shared" si="336"/>
        <v>403</v>
      </c>
      <c r="G156" s="1">
        <f t="shared" si="337"/>
        <v>523</v>
      </c>
      <c r="H156">
        <f t="shared" si="338"/>
        <v>156</v>
      </c>
      <c r="I156">
        <f t="shared" si="339"/>
        <v>202</v>
      </c>
      <c r="J156">
        <f t="shared" si="340"/>
        <v>262</v>
      </c>
      <c r="K156">
        <f t="shared" si="341"/>
        <v>341</v>
      </c>
      <c r="L156">
        <f t="shared" si="342"/>
        <v>43</v>
      </c>
      <c r="M156">
        <f t="shared" si="343"/>
        <v>55</v>
      </c>
      <c r="N156">
        <f t="shared" si="344"/>
        <v>170</v>
      </c>
      <c r="O156" s="1">
        <v>451</v>
      </c>
      <c r="P156" s="1">
        <v>586</v>
      </c>
      <c r="Q156" s="1">
        <v>388</v>
      </c>
      <c r="R156" s="1">
        <v>505</v>
      </c>
      <c r="S156" s="1">
        <v>68</v>
      </c>
      <c r="T156" s="1">
        <v>88</v>
      </c>
      <c r="U156" s="1">
        <v>131</v>
      </c>
      <c r="V156" s="1">
        <v>170</v>
      </c>
      <c r="W156" s="1">
        <v>156</v>
      </c>
      <c r="X156" s="1">
        <v>202</v>
      </c>
      <c r="Y156" s="1">
        <v>199</v>
      </c>
      <c r="Z156" s="1">
        <v>259</v>
      </c>
      <c r="AA156" s="1">
        <v>68</v>
      </c>
      <c r="AB156" s="1">
        <v>88</v>
      </c>
      <c r="AC156" s="1">
        <v>262</v>
      </c>
      <c r="AD156" s="1">
        <v>341</v>
      </c>
      <c r="AE156" s="1">
        <v>68</v>
      </c>
      <c r="AF156" s="1">
        <v>88</v>
      </c>
      <c r="AG156" s="1">
        <v>43</v>
      </c>
      <c r="AH156" s="1">
        <v>55</v>
      </c>
      <c r="AI156" s="1">
        <v>20</v>
      </c>
      <c r="AJ156">
        <v>129</v>
      </c>
    </row>
    <row r="157" spans="1:36" x14ac:dyDescent="0.15">
      <c r="A157">
        <v>130</v>
      </c>
      <c r="B157" s="1">
        <f t="shared" si="20"/>
        <v>488</v>
      </c>
      <c r="C157" s="1">
        <f t="shared" si="21"/>
        <v>634</v>
      </c>
      <c r="D157" s="1">
        <f t="shared" si="22"/>
        <v>420</v>
      </c>
      <c r="E157" s="1">
        <f t="shared" si="23"/>
        <v>546</v>
      </c>
      <c r="F157" s="1">
        <f t="shared" si="24"/>
        <v>434</v>
      </c>
      <c r="G157" s="1">
        <f t="shared" si="25"/>
        <v>564</v>
      </c>
      <c r="H157">
        <f t="shared" si="26"/>
        <v>169</v>
      </c>
      <c r="I157">
        <f t="shared" si="27"/>
        <v>219</v>
      </c>
      <c r="J157">
        <f t="shared" si="28"/>
        <v>283</v>
      </c>
      <c r="K157">
        <f t="shared" si="29"/>
        <v>368</v>
      </c>
      <c r="L157">
        <f t="shared" si="30"/>
        <v>46</v>
      </c>
      <c r="M157">
        <f t="shared" si="31"/>
        <v>59</v>
      </c>
      <c r="N157">
        <f t="shared" si="32"/>
        <v>184</v>
      </c>
      <c r="O157" s="1">
        <v>488</v>
      </c>
      <c r="P157" s="1">
        <v>634</v>
      </c>
      <c r="Q157" s="1">
        <v>420</v>
      </c>
      <c r="R157" s="1">
        <v>546</v>
      </c>
      <c r="S157" s="1">
        <v>73</v>
      </c>
      <c r="T157" s="1">
        <v>95</v>
      </c>
      <c r="U157" s="1">
        <v>141</v>
      </c>
      <c r="V157" s="1">
        <v>184</v>
      </c>
      <c r="W157" s="1">
        <v>169</v>
      </c>
      <c r="X157" s="1">
        <v>219</v>
      </c>
      <c r="Y157" s="1">
        <v>215</v>
      </c>
      <c r="Z157" s="1">
        <v>279</v>
      </c>
      <c r="AA157" s="1">
        <v>73</v>
      </c>
      <c r="AB157" s="1">
        <v>95</v>
      </c>
      <c r="AC157" s="1">
        <v>283</v>
      </c>
      <c r="AD157" s="1">
        <v>368</v>
      </c>
      <c r="AE157" s="1">
        <v>73</v>
      </c>
      <c r="AF157" s="1">
        <v>95</v>
      </c>
      <c r="AG157" s="1">
        <v>46</v>
      </c>
      <c r="AH157" s="1">
        <v>59</v>
      </c>
      <c r="AI157" s="1">
        <v>20</v>
      </c>
      <c r="AJ157">
        <v>130</v>
      </c>
    </row>
    <row r="158" spans="1:36" x14ac:dyDescent="0.15">
      <c r="A158">
        <v>131</v>
      </c>
      <c r="B158" s="1">
        <f t="shared" ref="B158:B159" si="345">O158</f>
        <v>488</v>
      </c>
      <c r="C158" s="1">
        <f t="shared" ref="C158:C159" si="346">P158</f>
        <v>634</v>
      </c>
      <c r="D158" s="1">
        <f t="shared" ref="D158:D159" si="347">Q158</f>
        <v>420</v>
      </c>
      <c r="E158" s="1">
        <f t="shared" ref="E158:E159" si="348">R158</f>
        <v>546</v>
      </c>
      <c r="F158" s="1">
        <f t="shared" ref="F158:F159" si="349">S158+Y158+AA158+AE158</f>
        <v>434</v>
      </c>
      <c r="G158" s="1">
        <f t="shared" ref="G158:G159" si="350">T158+Z158+AB158+AF158</f>
        <v>564</v>
      </c>
      <c r="H158">
        <f t="shared" ref="H158:H159" si="351">W158</f>
        <v>169</v>
      </c>
      <c r="I158">
        <f t="shared" ref="I158:I159" si="352">X158</f>
        <v>219</v>
      </c>
      <c r="J158">
        <f t="shared" ref="J158:J159" si="353">AC158</f>
        <v>283</v>
      </c>
      <c r="K158">
        <f t="shared" ref="K158:K159" si="354">AD158</f>
        <v>368</v>
      </c>
      <c r="L158">
        <f t="shared" ref="L158:L159" si="355">AG158</f>
        <v>46</v>
      </c>
      <c r="M158">
        <f t="shared" ref="M158:M159" si="356">AH158</f>
        <v>59</v>
      </c>
      <c r="N158">
        <f t="shared" ref="N158:N159" si="357">V158</f>
        <v>184</v>
      </c>
      <c r="O158" s="1">
        <v>488</v>
      </c>
      <c r="P158" s="1">
        <v>634</v>
      </c>
      <c r="Q158" s="1">
        <v>420</v>
      </c>
      <c r="R158" s="1">
        <v>546</v>
      </c>
      <c r="S158" s="1">
        <v>73</v>
      </c>
      <c r="T158" s="1">
        <v>95</v>
      </c>
      <c r="U158" s="1">
        <v>141</v>
      </c>
      <c r="V158" s="1">
        <v>184</v>
      </c>
      <c r="W158" s="1">
        <v>169</v>
      </c>
      <c r="X158" s="1">
        <v>219</v>
      </c>
      <c r="Y158" s="1">
        <v>215</v>
      </c>
      <c r="Z158" s="1">
        <v>279</v>
      </c>
      <c r="AA158" s="1">
        <v>73</v>
      </c>
      <c r="AB158" s="1">
        <v>95</v>
      </c>
      <c r="AC158" s="1">
        <v>283</v>
      </c>
      <c r="AD158" s="1">
        <v>368</v>
      </c>
      <c r="AE158" s="1">
        <v>73</v>
      </c>
      <c r="AF158" s="1">
        <v>95</v>
      </c>
      <c r="AG158" s="1">
        <v>46</v>
      </c>
      <c r="AH158" s="1">
        <v>59</v>
      </c>
      <c r="AI158" s="1">
        <v>20</v>
      </c>
      <c r="AJ158">
        <v>131</v>
      </c>
    </row>
    <row r="159" spans="1:36" x14ac:dyDescent="0.15">
      <c r="A159">
        <v>132</v>
      </c>
      <c r="B159" s="1">
        <f t="shared" si="345"/>
        <v>488</v>
      </c>
      <c r="C159" s="1">
        <f t="shared" si="346"/>
        <v>634</v>
      </c>
      <c r="D159" s="1">
        <f t="shared" si="347"/>
        <v>420</v>
      </c>
      <c r="E159" s="1">
        <f t="shared" si="348"/>
        <v>546</v>
      </c>
      <c r="F159" s="1">
        <f t="shared" si="349"/>
        <v>434</v>
      </c>
      <c r="G159" s="1">
        <f t="shared" si="350"/>
        <v>564</v>
      </c>
      <c r="H159">
        <f t="shared" si="351"/>
        <v>169</v>
      </c>
      <c r="I159">
        <f t="shared" si="352"/>
        <v>219</v>
      </c>
      <c r="J159">
        <f t="shared" si="353"/>
        <v>283</v>
      </c>
      <c r="K159">
        <f t="shared" si="354"/>
        <v>368</v>
      </c>
      <c r="L159">
        <f t="shared" si="355"/>
        <v>46</v>
      </c>
      <c r="M159">
        <f t="shared" si="356"/>
        <v>59</v>
      </c>
      <c r="N159">
        <f t="shared" si="357"/>
        <v>184</v>
      </c>
      <c r="O159" s="1">
        <v>488</v>
      </c>
      <c r="P159" s="1">
        <v>634</v>
      </c>
      <c r="Q159" s="1">
        <v>420</v>
      </c>
      <c r="R159" s="1">
        <v>546</v>
      </c>
      <c r="S159" s="1">
        <v>73</v>
      </c>
      <c r="T159" s="1">
        <v>95</v>
      </c>
      <c r="U159" s="1">
        <v>141</v>
      </c>
      <c r="V159" s="1">
        <v>184</v>
      </c>
      <c r="W159" s="1">
        <v>169</v>
      </c>
      <c r="X159" s="1">
        <v>219</v>
      </c>
      <c r="Y159" s="1">
        <v>215</v>
      </c>
      <c r="Z159" s="1">
        <v>279</v>
      </c>
      <c r="AA159" s="1">
        <v>73</v>
      </c>
      <c r="AB159" s="1">
        <v>95</v>
      </c>
      <c r="AC159" s="1">
        <v>283</v>
      </c>
      <c r="AD159" s="1">
        <v>368</v>
      </c>
      <c r="AE159" s="1">
        <v>73</v>
      </c>
      <c r="AF159" s="1">
        <v>95</v>
      </c>
      <c r="AG159" s="1">
        <v>46</v>
      </c>
      <c r="AH159" s="1">
        <v>59</v>
      </c>
      <c r="AI159" s="1">
        <v>20</v>
      </c>
      <c r="AJ159">
        <v>132</v>
      </c>
    </row>
    <row r="160" spans="1:36" x14ac:dyDescent="0.15">
      <c r="A160">
        <v>133</v>
      </c>
      <c r="B160" s="1">
        <f t="shared" ref="B160:B166" si="358">O160</f>
        <v>488</v>
      </c>
      <c r="C160" s="1">
        <f t="shared" ref="C160:C166" si="359">P160</f>
        <v>634</v>
      </c>
      <c r="D160" s="1">
        <f t="shared" ref="D160:D166" si="360">Q160</f>
        <v>420</v>
      </c>
      <c r="E160" s="1">
        <f t="shared" ref="E160:E166" si="361">R160</f>
        <v>546</v>
      </c>
      <c r="F160" s="1">
        <f t="shared" ref="F160:F166" si="362">S160+Y160+AA160+AE160</f>
        <v>434</v>
      </c>
      <c r="G160" s="1">
        <f t="shared" ref="G160:G166" si="363">T160+Z160+AB160+AF160</f>
        <v>564</v>
      </c>
      <c r="H160">
        <f t="shared" ref="H160:H166" si="364">W160</f>
        <v>169</v>
      </c>
      <c r="I160">
        <f t="shared" ref="I160:I166" si="365">X160</f>
        <v>219</v>
      </c>
      <c r="J160">
        <f t="shared" ref="J160:J166" si="366">AC160</f>
        <v>283</v>
      </c>
      <c r="K160">
        <f t="shared" ref="K160:K166" si="367">AD160</f>
        <v>368</v>
      </c>
      <c r="L160">
        <f t="shared" ref="L160:L166" si="368">AG160</f>
        <v>46</v>
      </c>
      <c r="M160">
        <f t="shared" ref="M160:M166" si="369">AH160</f>
        <v>59</v>
      </c>
      <c r="N160">
        <f t="shared" ref="N160:N166" si="370">V160</f>
        <v>184</v>
      </c>
      <c r="O160" s="1">
        <v>488</v>
      </c>
      <c r="P160" s="1">
        <v>634</v>
      </c>
      <c r="Q160" s="1">
        <v>420</v>
      </c>
      <c r="R160" s="1">
        <v>546</v>
      </c>
      <c r="S160" s="1">
        <v>73</v>
      </c>
      <c r="T160" s="1">
        <v>95</v>
      </c>
      <c r="U160" s="1">
        <v>141</v>
      </c>
      <c r="V160" s="1">
        <v>184</v>
      </c>
      <c r="W160" s="1">
        <v>169</v>
      </c>
      <c r="X160" s="1">
        <v>219</v>
      </c>
      <c r="Y160" s="1">
        <v>215</v>
      </c>
      <c r="Z160" s="1">
        <v>279</v>
      </c>
      <c r="AA160" s="1">
        <v>73</v>
      </c>
      <c r="AB160" s="1">
        <v>95</v>
      </c>
      <c r="AC160" s="1">
        <v>283</v>
      </c>
      <c r="AD160" s="1">
        <v>368</v>
      </c>
      <c r="AE160" s="1">
        <v>73</v>
      </c>
      <c r="AF160" s="1">
        <v>95</v>
      </c>
      <c r="AG160" s="1">
        <v>46</v>
      </c>
      <c r="AH160" s="1">
        <v>59</v>
      </c>
      <c r="AI160" s="1">
        <v>20</v>
      </c>
      <c r="AJ160">
        <v>133</v>
      </c>
    </row>
    <row r="161" spans="1:36" x14ac:dyDescent="0.15">
      <c r="A161">
        <v>134</v>
      </c>
      <c r="B161" s="1">
        <f t="shared" si="358"/>
        <v>488</v>
      </c>
      <c r="C161" s="1">
        <f t="shared" si="359"/>
        <v>634</v>
      </c>
      <c r="D161" s="1">
        <f t="shared" si="360"/>
        <v>420</v>
      </c>
      <c r="E161" s="1">
        <f t="shared" si="361"/>
        <v>546</v>
      </c>
      <c r="F161" s="1">
        <f t="shared" si="362"/>
        <v>434</v>
      </c>
      <c r="G161" s="1">
        <f t="shared" si="363"/>
        <v>564</v>
      </c>
      <c r="H161">
        <f t="shared" si="364"/>
        <v>169</v>
      </c>
      <c r="I161">
        <f t="shared" si="365"/>
        <v>219</v>
      </c>
      <c r="J161">
        <f t="shared" si="366"/>
        <v>283</v>
      </c>
      <c r="K161">
        <f t="shared" si="367"/>
        <v>368</v>
      </c>
      <c r="L161">
        <f t="shared" si="368"/>
        <v>46</v>
      </c>
      <c r="M161">
        <f t="shared" si="369"/>
        <v>59</v>
      </c>
      <c r="N161">
        <f t="shared" si="370"/>
        <v>184</v>
      </c>
      <c r="O161" s="1">
        <v>488</v>
      </c>
      <c r="P161" s="1">
        <v>634</v>
      </c>
      <c r="Q161" s="1">
        <v>420</v>
      </c>
      <c r="R161" s="1">
        <v>546</v>
      </c>
      <c r="S161" s="1">
        <v>73</v>
      </c>
      <c r="T161" s="1">
        <v>95</v>
      </c>
      <c r="U161" s="1">
        <v>141</v>
      </c>
      <c r="V161" s="1">
        <v>184</v>
      </c>
      <c r="W161" s="1">
        <v>169</v>
      </c>
      <c r="X161" s="1">
        <v>219</v>
      </c>
      <c r="Y161" s="1">
        <v>215</v>
      </c>
      <c r="Z161" s="1">
        <v>279</v>
      </c>
      <c r="AA161" s="1">
        <v>73</v>
      </c>
      <c r="AB161" s="1">
        <v>95</v>
      </c>
      <c r="AC161" s="1">
        <v>283</v>
      </c>
      <c r="AD161" s="1">
        <v>368</v>
      </c>
      <c r="AE161" s="1">
        <v>73</v>
      </c>
      <c r="AF161" s="1">
        <v>95</v>
      </c>
      <c r="AG161" s="1">
        <v>46</v>
      </c>
      <c r="AH161" s="1">
        <v>59</v>
      </c>
      <c r="AI161" s="1">
        <v>20</v>
      </c>
      <c r="AJ161">
        <v>134</v>
      </c>
    </row>
    <row r="162" spans="1:36" x14ac:dyDescent="0.15">
      <c r="A162">
        <v>135</v>
      </c>
      <c r="B162" s="1">
        <f t="shared" si="358"/>
        <v>488</v>
      </c>
      <c r="C162" s="1">
        <f t="shared" si="359"/>
        <v>634</v>
      </c>
      <c r="D162" s="1">
        <f t="shared" si="360"/>
        <v>420</v>
      </c>
      <c r="E162" s="1">
        <f t="shared" si="361"/>
        <v>546</v>
      </c>
      <c r="F162" s="1">
        <f t="shared" si="362"/>
        <v>434</v>
      </c>
      <c r="G162" s="1">
        <f t="shared" si="363"/>
        <v>564</v>
      </c>
      <c r="H162">
        <f t="shared" si="364"/>
        <v>169</v>
      </c>
      <c r="I162">
        <f t="shared" si="365"/>
        <v>219</v>
      </c>
      <c r="J162">
        <f t="shared" si="366"/>
        <v>283</v>
      </c>
      <c r="K162">
        <f t="shared" si="367"/>
        <v>368</v>
      </c>
      <c r="L162">
        <f t="shared" si="368"/>
        <v>46</v>
      </c>
      <c r="M162">
        <f t="shared" si="369"/>
        <v>59</v>
      </c>
      <c r="N162">
        <f t="shared" si="370"/>
        <v>184</v>
      </c>
      <c r="O162" s="1">
        <v>488</v>
      </c>
      <c r="P162" s="1">
        <v>634</v>
      </c>
      <c r="Q162" s="1">
        <v>420</v>
      </c>
      <c r="R162" s="1">
        <v>546</v>
      </c>
      <c r="S162" s="1">
        <v>73</v>
      </c>
      <c r="T162" s="1">
        <v>95</v>
      </c>
      <c r="U162" s="1">
        <v>141</v>
      </c>
      <c r="V162" s="1">
        <v>184</v>
      </c>
      <c r="W162" s="1">
        <v>169</v>
      </c>
      <c r="X162" s="1">
        <v>219</v>
      </c>
      <c r="Y162" s="1">
        <v>215</v>
      </c>
      <c r="Z162" s="1">
        <v>279</v>
      </c>
      <c r="AA162" s="1">
        <v>73</v>
      </c>
      <c r="AB162" s="1">
        <v>95</v>
      </c>
      <c r="AC162" s="1">
        <v>283</v>
      </c>
      <c r="AD162" s="1">
        <v>368</v>
      </c>
      <c r="AE162" s="1">
        <v>73</v>
      </c>
      <c r="AF162" s="1">
        <v>95</v>
      </c>
      <c r="AG162" s="1">
        <v>46</v>
      </c>
      <c r="AH162" s="1">
        <v>59</v>
      </c>
      <c r="AI162" s="1">
        <v>20</v>
      </c>
      <c r="AJ162">
        <v>135</v>
      </c>
    </row>
    <row r="163" spans="1:36" x14ac:dyDescent="0.15">
      <c r="A163">
        <v>136</v>
      </c>
      <c r="B163" s="1">
        <f t="shared" si="358"/>
        <v>488</v>
      </c>
      <c r="C163" s="1">
        <f t="shared" si="359"/>
        <v>634</v>
      </c>
      <c r="D163" s="1">
        <f t="shared" si="360"/>
        <v>420</v>
      </c>
      <c r="E163" s="1">
        <f t="shared" si="361"/>
        <v>546</v>
      </c>
      <c r="F163" s="1">
        <f t="shared" si="362"/>
        <v>434</v>
      </c>
      <c r="G163" s="1">
        <f t="shared" si="363"/>
        <v>564</v>
      </c>
      <c r="H163">
        <f t="shared" si="364"/>
        <v>169</v>
      </c>
      <c r="I163">
        <f t="shared" si="365"/>
        <v>219</v>
      </c>
      <c r="J163">
        <f t="shared" si="366"/>
        <v>283</v>
      </c>
      <c r="K163">
        <f t="shared" si="367"/>
        <v>368</v>
      </c>
      <c r="L163">
        <f t="shared" si="368"/>
        <v>46</v>
      </c>
      <c r="M163">
        <f t="shared" si="369"/>
        <v>59</v>
      </c>
      <c r="N163">
        <f t="shared" si="370"/>
        <v>184</v>
      </c>
      <c r="O163" s="1">
        <v>488</v>
      </c>
      <c r="P163" s="1">
        <v>634</v>
      </c>
      <c r="Q163" s="1">
        <v>420</v>
      </c>
      <c r="R163" s="1">
        <v>546</v>
      </c>
      <c r="S163" s="1">
        <v>73</v>
      </c>
      <c r="T163" s="1">
        <v>95</v>
      </c>
      <c r="U163" s="1">
        <v>141</v>
      </c>
      <c r="V163" s="1">
        <v>184</v>
      </c>
      <c r="W163" s="1">
        <v>169</v>
      </c>
      <c r="X163" s="1">
        <v>219</v>
      </c>
      <c r="Y163" s="1">
        <v>215</v>
      </c>
      <c r="Z163" s="1">
        <v>279</v>
      </c>
      <c r="AA163" s="1">
        <v>73</v>
      </c>
      <c r="AB163" s="1">
        <v>95</v>
      </c>
      <c r="AC163" s="1">
        <v>283</v>
      </c>
      <c r="AD163" s="1">
        <v>368</v>
      </c>
      <c r="AE163" s="1">
        <v>73</v>
      </c>
      <c r="AF163" s="1">
        <v>95</v>
      </c>
      <c r="AG163" s="1">
        <v>46</v>
      </c>
      <c r="AH163" s="1">
        <v>59</v>
      </c>
      <c r="AI163" s="1">
        <v>20</v>
      </c>
      <c r="AJ163">
        <v>136</v>
      </c>
    </row>
    <row r="164" spans="1:36" x14ac:dyDescent="0.15">
      <c r="A164">
        <v>137</v>
      </c>
      <c r="B164" s="1">
        <f t="shared" si="358"/>
        <v>488</v>
      </c>
      <c r="C164" s="1">
        <f t="shared" si="359"/>
        <v>634</v>
      </c>
      <c r="D164" s="1">
        <f t="shared" si="360"/>
        <v>420</v>
      </c>
      <c r="E164" s="1">
        <f t="shared" si="361"/>
        <v>546</v>
      </c>
      <c r="F164" s="1">
        <f t="shared" si="362"/>
        <v>434</v>
      </c>
      <c r="G164" s="1">
        <f t="shared" si="363"/>
        <v>564</v>
      </c>
      <c r="H164">
        <f t="shared" si="364"/>
        <v>169</v>
      </c>
      <c r="I164">
        <f t="shared" si="365"/>
        <v>219</v>
      </c>
      <c r="J164">
        <f t="shared" si="366"/>
        <v>283</v>
      </c>
      <c r="K164">
        <f t="shared" si="367"/>
        <v>368</v>
      </c>
      <c r="L164">
        <f t="shared" si="368"/>
        <v>46</v>
      </c>
      <c r="M164">
        <f t="shared" si="369"/>
        <v>59</v>
      </c>
      <c r="N164">
        <f t="shared" si="370"/>
        <v>184</v>
      </c>
      <c r="O164" s="1">
        <v>488</v>
      </c>
      <c r="P164" s="1">
        <v>634</v>
      </c>
      <c r="Q164" s="1">
        <v>420</v>
      </c>
      <c r="R164" s="1">
        <v>546</v>
      </c>
      <c r="S164" s="1">
        <v>73</v>
      </c>
      <c r="T164" s="1">
        <v>95</v>
      </c>
      <c r="U164" s="1">
        <v>141</v>
      </c>
      <c r="V164" s="1">
        <v>184</v>
      </c>
      <c r="W164" s="1">
        <v>169</v>
      </c>
      <c r="X164" s="1">
        <v>219</v>
      </c>
      <c r="Y164" s="1">
        <v>215</v>
      </c>
      <c r="Z164" s="1">
        <v>279</v>
      </c>
      <c r="AA164" s="1">
        <v>73</v>
      </c>
      <c r="AB164" s="1">
        <v>95</v>
      </c>
      <c r="AC164" s="1">
        <v>283</v>
      </c>
      <c r="AD164" s="1">
        <v>368</v>
      </c>
      <c r="AE164" s="1">
        <v>73</v>
      </c>
      <c r="AF164" s="1">
        <v>95</v>
      </c>
      <c r="AG164" s="1">
        <v>46</v>
      </c>
      <c r="AH164" s="1">
        <v>59</v>
      </c>
      <c r="AI164" s="1">
        <v>20</v>
      </c>
      <c r="AJ164">
        <v>137</v>
      </c>
    </row>
    <row r="165" spans="1:36" x14ac:dyDescent="0.15">
      <c r="A165">
        <v>138</v>
      </c>
      <c r="B165" s="1">
        <f t="shared" si="358"/>
        <v>488</v>
      </c>
      <c r="C165" s="1">
        <f t="shared" si="359"/>
        <v>634</v>
      </c>
      <c r="D165" s="1">
        <f t="shared" si="360"/>
        <v>420</v>
      </c>
      <c r="E165" s="1">
        <f t="shared" si="361"/>
        <v>546</v>
      </c>
      <c r="F165" s="1">
        <f t="shared" si="362"/>
        <v>434</v>
      </c>
      <c r="G165" s="1">
        <f t="shared" si="363"/>
        <v>564</v>
      </c>
      <c r="H165">
        <f t="shared" si="364"/>
        <v>169</v>
      </c>
      <c r="I165">
        <f t="shared" si="365"/>
        <v>219</v>
      </c>
      <c r="J165">
        <f t="shared" si="366"/>
        <v>283</v>
      </c>
      <c r="K165">
        <f t="shared" si="367"/>
        <v>368</v>
      </c>
      <c r="L165">
        <f t="shared" si="368"/>
        <v>46</v>
      </c>
      <c r="M165">
        <f t="shared" si="369"/>
        <v>59</v>
      </c>
      <c r="N165">
        <f t="shared" si="370"/>
        <v>184</v>
      </c>
      <c r="O165" s="1">
        <v>488</v>
      </c>
      <c r="P165" s="1">
        <v>634</v>
      </c>
      <c r="Q165" s="1">
        <v>420</v>
      </c>
      <c r="R165" s="1">
        <v>546</v>
      </c>
      <c r="S165" s="1">
        <v>73</v>
      </c>
      <c r="T165" s="1">
        <v>95</v>
      </c>
      <c r="U165" s="1">
        <v>141</v>
      </c>
      <c r="V165" s="1">
        <v>184</v>
      </c>
      <c r="W165" s="1">
        <v>169</v>
      </c>
      <c r="X165" s="1">
        <v>219</v>
      </c>
      <c r="Y165" s="1">
        <v>215</v>
      </c>
      <c r="Z165" s="1">
        <v>279</v>
      </c>
      <c r="AA165" s="1">
        <v>73</v>
      </c>
      <c r="AB165" s="1">
        <v>95</v>
      </c>
      <c r="AC165" s="1">
        <v>283</v>
      </c>
      <c r="AD165" s="1">
        <v>368</v>
      </c>
      <c r="AE165" s="1">
        <v>73</v>
      </c>
      <c r="AF165" s="1">
        <v>95</v>
      </c>
      <c r="AG165" s="1">
        <v>46</v>
      </c>
      <c r="AH165" s="1">
        <v>59</v>
      </c>
      <c r="AI165" s="1">
        <v>20</v>
      </c>
      <c r="AJ165">
        <v>138</v>
      </c>
    </row>
    <row r="166" spans="1:36" x14ac:dyDescent="0.15">
      <c r="A166">
        <v>139</v>
      </c>
      <c r="B166" s="1">
        <f t="shared" si="358"/>
        <v>488</v>
      </c>
      <c r="C166" s="1">
        <f t="shared" si="359"/>
        <v>634</v>
      </c>
      <c r="D166" s="1">
        <f t="shared" si="360"/>
        <v>420</v>
      </c>
      <c r="E166" s="1">
        <f t="shared" si="361"/>
        <v>546</v>
      </c>
      <c r="F166" s="1">
        <f t="shared" si="362"/>
        <v>434</v>
      </c>
      <c r="G166" s="1">
        <f t="shared" si="363"/>
        <v>564</v>
      </c>
      <c r="H166">
        <f t="shared" si="364"/>
        <v>169</v>
      </c>
      <c r="I166">
        <f t="shared" si="365"/>
        <v>219</v>
      </c>
      <c r="J166">
        <f t="shared" si="366"/>
        <v>283</v>
      </c>
      <c r="K166">
        <f t="shared" si="367"/>
        <v>368</v>
      </c>
      <c r="L166">
        <f t="shared" si="368"/>
        <v>46</v>
      </c>
      <c r="M166">
        <f t="shared" si="369"/>
        <v>59</v>
      </c>
      <c r="N166">
        <f t="shared" si="370"/>
        <v>184</v>
      </c>
      <c r="O166" s="1">
        <v>488</v>
      </c>
      <c r="P166" s="1">
        <v>634</v>
      </c>
      <c r="Q166" s="1">
        <v>420</v>
      </c>
      <c r="R166" s="1">
        <v>546</v>
      </c>
      <c r="S166" s="1">
        <v>73</v>
      </c>
      <c r="T166" s="1">
        <v>95</v>
      </c>
      <c r="U166" s="1">
        <v>141</v>
      </c>
      <c r="V166" s="1">
        <v>184</v>
      </c>
      <c r="W166" s="1">
        <v>169</v>
      </c>
      <c r="X166" s="1">
        <v>219</v>
      </c>
      <c r="Y166" s="1">
        <v>215</v>
      </c>
      <c r="Z166" s="1">
        <v>279</v>
      </c>
      <c r="AA166" s="1">
        <v>73</v>
      </c>
      <c r="AB166" s="1">
        <v>95</v>
      </c>
      <c r="AC166" s="1">
        <v>283</v>
      </c>
      <c r="AD166" s="1">
        <v>368</v>
      </c>
      <c r="AE166" s="1">
        <v>73</v>
      </c>
      <c r="AF166" s="1">
        <v>95</v>
      </c>
      <c r="AG166" s="1">
        <v>46</v>
      </c>
      <c r="AH166" s="1">
        <v>59</v>
      </c>
      <c r="AI166" s="1">
        <v>20</v>
      </c>
      <c r="AJ166">
        <v>139</v>
      </c>
    </row>
    <row r="167" spans="1:36" x14ac:dyDescent="0.15">
      <c r="A167">
        <v>140</v>
      </c>
      <c r="B167" s="1">
        <f t="shared" si="20"/>
        <v>525</v>
      </c>
      <c r="C167" s="1">
        <f t="shared" si="21"/>
        <v>682</v>
      </c>
      <c r="D167" s="1">
        <f t="shared" si="22"/>
        <v>451</v>
      </c>
      <c r="E167" s="1">
        <f t="shared" si="23"/>
        <v>586</v>
      </c>
      <c r="F167" s="1">
        <f t="shared" si="24"/>
        <v>465</v>
      </c>
      <c r="G167" s="1">
        <f t="shared" si="25"/>
        <v>604</v>
      </c>
      <c r="H167">
        <f t="shared" si="26"/>
        <v>181</v>
      </c>
      <c r="I167">
        <f t="shared" si="27"/>
        <v>235</v>
      </c>
      <c r="J167">
        <f t="shared" si="28"/>
        <v>304</v>
      </c>
      <c r="K167">
        <f t="shared" si="29"/>
        <v>395</v>
      </c>
      <c r="L167">
        <f t="shared" si="30"/>
        <v>49</v>
      </c>
      <c r="M167">
        <f t="shared" si="31"/>
        <v>63</v>
      </c>
      <c r="N167">
        <f t="shared" si="32"/>
        <v>197</v>
      </c>
      <c r="O167" s="1">
        <v>525</v>
      </c>
      <c r="P167" s="1">
        <v>682</v>
      </c>
      <c r="Q167" s="1">
        <v>451</v>
      </c>
      <c r="R167" s="1">
        <v>586</v>
      </c>
      <c r="S167" s="1">
        <v>78</v>
      </c>
      <c r="T167" s="1">
        <v>101</v>
      </c>
      <c r="U167" s="1">
        <v>152</v>
      </c>
      <c r="V167" s="1">
        <v>197</v>
      </c>
      <c r="W167" s="1">
        <v>181</v>
      </c>
      <c r="X167" s="1">
        <v>235</v>
      </c>
      <c r="Y167" s="1">
        <v>231</v>
      </c>
      <c r="Z167" s="1">
        <v>300</v>
      </c>
      <c r="AA167" s="1">
        <v>78</v>
      </c>
      <c r="AB167" s="1">
        <v>102</v>
      </c>
      <c r="AC167" s="1">
        <v>304</v>
      </c>
      <c r="AD167" s="1">
        <v>395</v>
      </c>
      <c r="AE167" s="1">
        <v>78</v>
      </c>
      <c r="AF167" s="1">
        <v>101</v>
      </c>
      <c r="AG167" s="1">
        <v>49</v>
      </c>
      <c r="AH167" s="1">
        <v>63</v>
      </c>
      <c r="AI167" s="1">
        <v>20</v>
      </c>
      <c r="AJ167">
        <v>140</v>
      </c>
    </row>
    <row r="168" spans="1:36" x14ac:dyDescent="0.15">
      <c r="A168">
        <v>141</v>
      </c>
      <c r="B168" s="1">
        <f t="shared" ref="B168:B169" si="371">O168</f>
        <v>525</v>
      </c>
      <c r="C168" s="1">
        <f t="shared" ref="C168:C169" si="372">P168</f>
        <v>682</v>
      </c>
      <c r="D168" s="1">
        <f t="shared" ref="D168:D169" si="373">Q168</f>
        <v>451</v>
      </c>
      <c r="E168" s="1">
        <f t="shared" ref="E168:E169" si="374">R168</f>
        <v>586</v>
      </c>
      <c r="F168" s="1">
        <f t="shared" ref="F168:F169" si="375">S168+Y168+AA168+AE168</f>
        <v>465</v>
      </c>
      <c r="G168" s="1">
        <f t="shared" ref="G168:G169" si="376">T168+Z168+AB168+AF168</f>
        <v>604</v>
      </c>
      <c r="H168">
        <f t="shared" ref="H168:H169" si="377">W168</f>
        <v>181</v>
      </c>
      <c r="I168">
        <f t="shared" ref="I168:I169" si="378">X168</f>
        <v>235</v>
      </c>
      <c r="J168">
        <f t="shared" ref="J168:J169" si="379">AC168</f>
        <v>304</v>
      </c>
      <c r="K168">
        <f t="shared" ref="K168:K169" si="380">AD168</f>
        <v>395</v>
      </c>
      <c r="L168">
        <f t="shared" ref="L168:L169" si="381">AG168</f>
        <v>49</v>
      </c>
      <c r="M168">
        <f t="shared" ref="M168:M169" si="382">AH168</f>
        <v>63</v>
      </c>
      <c r="N168">
        <f t="shared" ref="N168:N169" si="383">V168</f>
        <v>197</v>
      </c>
      <c r="O168" s="1">
        <v>525</v>
      </c>
      <c r="P168" s="1">
        <v>682</v>
      </c>
      <c r="Q168" s="1">
        <v>451</v>
      </c>
      <c r="R168" s="1">
        <v>586</v>
      </c>
      <c r="S168" s="1">
        <v>78</v>
      </c>
      <c r="T168" s="1">
        <v>101</v>
      </c>
      <c r="U168" s="1">
        <v>152</v>
      </c>
      <c r="V168" s="1">
        <v>197</v>
      </c>
      <c r="W168" s="1">
        <v>181</v>
      </c>
      <c r="X168" s="1">
        <v>235</v>
      </c>
      <c r="Y168" s="1">
        <v>231</v>
      </c>
      <c r="Z168" s="1">
        <v>300</v>
      </c>
      <c r="AA168" s="1">
        <v>78</v>
      </c>
      <c r="AB168" s="1">
        <v>102</v>
      </c>
      <c r="AC168" s="1">
        <v>304</v>
      </c>
      <c r="AD168" s="1">
        <v>395</v>
      </c>
      <c r="AE168" s="1">
        <v>78</v>
      </c>
      <c r="AF168" s="1">
        <v>101</v>
      </c>
      <c r="AG168" s="1">
        <v>49</v>
      </c>
      <c r="AH168" s="1">
        <v>63</v>
      </c>
      <c r="AI168" s="1">
        <v>20</v>
      </c>
      <c r="AJ168">
        <v>141</v>
      </c>
    </row>
    <row r="169" spans="1:36" x14ac:dyDescent="0.15">
      <c r="A169">
        <v>142</v>
      </c>
      <c r="B169" s="1">
        <f t="shared" si="371"/>
        <v>525</v>
      </c>
      <c r="C169" s="1">
        <f t="shared" si="372"/>
        <v>682</v>
      </c>
      <c r="D169" s="1">
        <f t="shared" si="373"/>
        <v>451</v>
      </c>
      <c r="E169" s="1">
        <f t="shared" si="374"/>
        <v>586</v>
      </c>
      <c r="F169" s="1">
        <f t="shared" si="375"/>
        <v>465</v>
      </c>
      <c r="G169" s="1">
        <f t="shared" si="376"/>
        <v>604</v>
      </c>
      <c r="H169">
        <f t="shared" si="377"/>
        <v>181</v>
      </c>
      <c r="I169">
        <f t="shared" si="378"/>
        <v>235</v>
      </c>
      <c r="J169">
        <f t="shared" si="379"/>
        <v>304</v>
      </c>
      <c r="K169">
        <f t="shared" si="380"/>
        <v>395</v>
      </c>
      <c r="L169">
        <f t="shared" si="381"/>
        <v>49</v>
      </c>
      <c r="M169">
        <f t="shared" si="382"/>
        <v>63</v>
      </c>
      <c r="N169">
        <f t="shared" si="383"/>
        <v>197</v>
      </c>
      <c r="O169" s="1">
        <v>525</v>
      </c>
      <c r="P169" s="1">
        <v>682</v>
      </c>
      <c r="Q169" s="1">
        <v>451</v>
      </c>
      <c r="R169" s="1">
        <v>586</v>
      </c>
      <c r="S169" s="1">
        <v>78</v>
      </c>
      <c r="T169" s="1">
        <v>101</v>
      </c>
      <c r="U169" s="1">
        <v>152</v>
      </c>
      <c r="V169" s="1">
        <v>197</v>
      </c>
      <c r="W169" s="1">
        <v>181</v>
      </c>
      <c r="X169" s="1">
        <v>235</v>
      </c>
      <c r="Y169" s="1">
        <v>231</v>
      </c>
      <c r="Z169" s="1">
        <v>300</v>
      </c>
      <c r="AA169" s="1">
        <v>78</v>
      </c>
      <c r="AB169" s="1">
        <v>102</v>
      </c>
      <c r="AC169" s="1">
        <v>304</v>
      </c>
      <c r="AD169" s="1">
        <v>395</v>
      </c>
      <c r="AE169" s="1">
        <v>78</v>
      </c>
      <c r="AF169" s="1">
        <v>101</v>
      </c>
      <c r="AG169" s="1">
        <v>49</v>
      </c>
      <c r="AH169" s="1">
        <v>63</v>
      </c>
      <c r="AI169" s="1">
        <v>20</v>
      </c>
      <c r="AJ169">
        <v>142</v>
      </c>
    </row>
    <row r="170" spans="1:36" x14ac:dyDescent="0.15">
      <c r="A170">
        <v>143</v>
      </c>
      <c r="B170" s="1">
        <f t="shared" ref="B170:B176" si="384">O170</f>
        <v>525</v>
      </c>
      <c r="C170" s="1">
        <f t="shared" ref="C170:C176" si="385">P170</f>
        <v>682</v>
      </c>
      <c r="D170" s="1">
        <f t="shared" ref="D170:D176" si="386">Q170</f>
        <v>451</v>
      </c>
      <c r="E170" s="1">
        <f t="shared" ref="E170:E176" si="387">R170</f>
        <v>586</v>
      </c>
      <c r="F170" s="1">
        <f t="shared" ref="F170:F176" si="388">S170+Y170+AA170+AE170</f>
        <v>465</v>
      </c>
      <c r="G170" s="1">
        <f t="shared" ref="G170:G176" si="389">T170+Z170+AB170+AF170</f>
        <v>604</v>
      </c>
      <c r="H170">
        <f t="shared" ref="H170:H176" si="390">W170</f>
        <v>181</v>
      </c>
      <c r="I170">
        <f t="shared" ref="I170:I176" si="391">X170</f>
        <v>235</v>
      </c>
      <c r="J170">
        <f t="shared" ref="J170:J176" si="392">AC170</f>
        <v>304</v>
      </c>
      <c r="K170">
        <f t="shared" ref="K170:K176" si="393">AD170</f>
        <v>395</v>
      </c>
      <c r="L170">
        <f t="shared" ref="L170:L176" si="394">AG170</f>
        <v>49</v>
      </c>
      <c r="M170">
        <f t="shared" ref="M170:M176" si="395">AH170</f>
        <v>63</v>
      </c>
      <c r="N170">
        <f t="shared" ref="N170:N176" si="396">V170</f>
        <v>197</v>
      </c>
      <c r="O170" s="1">
        <v>525</v>
      </c>
      <c r="P170" s="1">
        <v>682</v>
      </c>
      <c r="Q170" s="1">
        <v>451</v>
      </c>
      <c r="R170" s="1">
        <v>586</v>
      </c>
      <c r="S170" s="1">
        <v>78</v>
      </c>
      <c r="T170" s="1">
        <v>101</v>
      </c>
      <c r="U170" s="1">
        <v>152</v>
      </c>
      <c r="V170" s="1">
        <v>197</v>
      </c>
      <c r="W170" s="1">
        <v>181</v>
      </c>
      <c r="X170" s="1">
        <v>235</v>
      </c>
      <c r="Y170" s="1">
        <v>231</v>
      </c>
      <c r="Z170" s="1">
        <v>300</v>
      </c>
      <c r="AA170" s="1">
        <v>78</v>
      </c>
      <c r="AB170" s="1">
        <v>102</v>
      </c>
      <c r="AC170" s="1">
        <v>304</v>
      </c>
      <c r="AD170" s="1">
        <v>395</v>
      </c>
      <c r="AE170" s="1">
        <v>78</v>
      </c>
      <c r="AF170" s="1">
        <v>101</v>
      </c>
      <c r="AG170" s="1">
        <v>49</v>
      </c>
      <c r="AH170" s="1">
        <v>63</v>
      </c>
      <c r="AI170" s="1">
        <v>20</v>
      </c>
      <c r="AJ170">
        <v>143</v>
      </c>
    </row>
    <row r="171" spans="1:36" x14ac:dyDescent="0.15">
      <c r="A171">
        <v>144</v>
      </c>
      <c r="B171" s="1">
        <f t="shared" si="384"/>
        <v>525</v>
      </c>
      <c r="C171" s="1">
        <f t="shared" si="385"/>
        <v>682</v>
      </c>
      <c r="D171" s="1">
        <f t="shared" si="386"/>
        <v>451</v>
      </c>
      <c r="E171" s="1">
        <f t="shared" si="387"/>
        <v>586</v>
      </c>
      <c r="F171" s="1">
        <f t="shared" si="388"/>
        <v>465</v>
      </c>
      <c r="G171" s="1">
        <f t="shared" si="389"/>
        <v>604</v>
      </c>
      <c r="H171">
        <f t="shared" si="390"/>
        <v>181</v>
      </c>
      <c r="I171">
        <f t="shared" si="391"/>
        <v>235</v>
      </c>
      <c r="J171">
        <f t="shared" si="392"/>
        <v>304</v>
      </c>
      <c r="K171">
        <f t="shared" si="393"/>
        <v>395</v>
      </c>
      <c r="L171">
        <f t="shared" si="394"/>
        <v>49</v>
      </c>
      <c r="M171">
        <f t="shared" si="395"/>
        <v>63</v>
      </c>
      <c r="N171">
        <f t="shared" si="396"/>
        <v>197</v>
      </c>
      <c r="O171" s="1">
        <v>525</v>
      </c>
      <c r="P171" s="1">
        <v>682</v>
      </c>
      <c r="Q171" s="1">
        <v>451</v>
      </c>
      <c r="R171" s="1">
        <v>586</v>
      </c>
      <c r="S171" s="1">
        <v>78</v>
      </c>
      <c r="T171" s="1">
        <v>101</v>
      </c>
      <c r="U171" s="1">
        <v>152</v>
      </c>
      <c r="V171" s="1">
        <v>197</v>
      </c>
      <c r="W171" s="1">
        <v>181</v>
      </c>
      <c r="X171" s="1">
        <v>235</v>
      </c>
      <c r="Y171" s="1">
        <v>231</v>
      </c>
      <c r="Z171" s="1">
        <v>300</v>
      </c>
      <c r="AA171" s="1">
        <v>78</v>
      </c>
      <c r="AB171" s="1">
        <v>102</v>
      </c>
      <c r="AC171" s="1">
        <v>304</v>
      </c>
      <c r="AD171" s="1">
        <v>395</v>
      </c>
      <c r="AE171" s="1">
        <v>78</v>
      </c>
      <c r="AF171" s="1">
        <v>101</v>
      </c>
      <c r="AG171" s="1">
        <v>49</v>
      </c>
      <c r="AH171" s="1">
        <v>63</v>
      </c>
      <c r="AI171" s="1">
        <v>20</v>
      </c>
      <c r="AJ171">
        <v>144</v>
      </c>
    </row>
    <row r="172" spans="1:36" x14ac:dyDescent="0.15">
      <c r="A172">
        <v>145</v>
      </c>
      <c r="B172" s="1">
        <f t="shared" si="384"/>
        <v>525</v>
      </c>
      <c r="C172" s="1">
        <f t="shared" si="385"/>
        <v>682</v>
      </c>
      <c r="D172" s="1">
        <f t="shared" si="386"/>
        <v>451</v>
      </c>
      <c r="E172" s="1">
        <f t="shared" si="387"/>
        <v>586</v>
      </c>
      <c r="F172" s="1">
        <f t="shared" si="388"/>
        <v>465</v>
      </c>
      <c r="G172" s="1">
        <f t="shared" si="389"/>
        <v>604</v>
      </c>
      <c r="H172">
        <f t="shared" si="390"/>
        <v>181</v>
      </c>
      <c r="I172">
        <f t="shared" si="391"/>
        <v>235</v>
      </c>
      <c r="J172">
        <f t="shared" si="392"/>
        <v>304</v>
      </c>
      <c r="K172">
        <f t="shared" si="393"/>
        <v>395</v>
      </c>
      <c r="L172">
        <f t="shared" si="394"/>
        <v>49</v>
      </c>
      <c r="M172">
        <f t="shared" si="395"/>
        <v>63</v>
      </c>
      <c r="N172">
        <f t="shared" si="396"/>
        <v>197</v>
      </c>
      <c r="O172" s="1">
        <v>525</v>
      </c>
      <c r="P172" s="1">
        <v>682</v>
      </c>
      <c r="Q172" s="1">
        <v>451</v>
      </c>
      <c r="R172" s="1">
        <v>586</v>
      </c>
      <c r="S172" s="1">
        <v>78</v>
      </c>
      <c r="T172" s="1">
        <v>101</v>
      </c>
      <c r="U172" s="1">
        <v>152</v>
      </c>
      <c r="V172" s="1">
        <v>197</v>
      </c>
      <c r="W172" s="1">
        <v>181</v>
      </c>
      <c r="X172" s="1">
        <v>235</v>
      </c>
      <c r="Y172" s="1">
        <v>231</v>
      </c>
      <c r="Z172" s="1">
        <v>300</v>
      </c>
      <c r="AA172" s="1">
        <v>78</v>
      </c>
      <c r="AB172" s="1">
        <v>102</v>
      </c>
      <c r="AC172" s="1">
        <v>304</v>
      </c>
      <c r="AD172" s="1">
        <v>395</v>
      </c>
      <c r="AE172" s="1">
        <v>78</v>
      </c>
      <c r="AF172" s="1">
        <v>101</v>
      </c>
      <c r="AG172" s="1">
        <v>49</v>
      </c>
      <c r="AH172" s="1">
        <v>63</v>
      </c>
      <c r="AI172" s="1">
        <v>20</v>
      </c>
      <c r="AJ172">
        <v>145</v>
      </c>
    </row>
    <row r="173" spans="1:36" x14ac:dyDescent="0.15">
      <c r="A173">
        <v>146</v>
      </c>
      <c r="B173" s="1">
        <f t="shared" si="384"/>
        <v>525</v>
      </c>
      <c r="C173" s="1">
        <f t="shared" si="385"/>
        <v>682</v>
      </c>
      <c r="D173" s="1">
        <f t="shared" si="386"/>
        <v>451</v>
      </c>
      <c r="E173" s="1">
        <f t="shared" si="387"/>
        <v>586</v>
      </c>
      <c r="F173" s="1">
        <f t="shared" si="388"/>
        <v>465</v>
      </c>
      <c r="G173" s="1">
        <f t="shared" si="389"/>
        <v>604</v>
      </c>
      <c r="H173">
        <f t="shared" si="390"/>
        <v>181</v>
      </c>
      <c r="I173">
        <f t="shared" si="391"/>
        <v>235</v>
      </c>
      <c r="J173">
        <f t="shared" si="392"/>
        <v>304</v>
      </c>
      <c r="K173">
        <f t="shared" si="393"/>
        <v>395</v>
      </c>
      <c r="L173">
        <f t="shared" si="394"/>
        <v>49</v>
      </c>
      <c r="M173">
        <f t="shared" si="395"/>
        <v>63</v>
      </c>
      <c r="N173">
        <f t="shared" si="396"/>
        <v>197</v>
      </c>
      <c r="O173" s="1">
        <v>525</v>
      </c>
      <c r="P173" s="1">
        <v>682</v>
      </c>
      <c r="Q173" s="1">
        <v>451</v>
      </c>
      <c r="R173" s="1">
        <v>586</v>
      </c>
      <c r="S173" s="1">
        <v>78</v>
      </c>
      <c r="T173" s="1">
        <v>101</v>
      </c>
      <c r="U173" s="1">
        <v>152</v>
      </c>
      <c r="V173" s="1">
        <v>197</v>
      </c>
      <c r="W173" s="1">
        <v>181</v>
      </c>
      <c r="X173" s="1">
        <v>235</v>
      </c>
      <c r="Y173" s="1">
        <v>231</v>
      </c>
      <c r="Z173" s="1">
        <v>300</v>
      </c>
      <c r="AA173" s="1">
        <v>78</v>
      </c>
      <c r="AB173" s="1">
        <v>102</v>
      </c>
      <c r="AC173" s="1">
        <v>304</v>
      </c>
      <c r="AD173" s="1">
        <v>395</v>
      </c>
      <c r="AE173" s="1">
        <v>78</v>
      </c>
      <c r="AF173" s="1">
        <v>101</v>
      </c>
      <c r="AG173" s="1">
        <v>49</v>
      </c>
      <c r="AH173" s="1">
        <v>63</v>
      </c>
      <c r="AI173" s="1">
        <v>25</v>
      </c>
      <c r="AJ173">
        <v>146</v>
      </c>
    </row>
    <row r="174" spans="1:36" x14ac:dyDescent="0.15">
      <c r="A174">
        <v>147</v>
      </c>
      <c r="B174" s="1">
        <f t="shared" si="384"/>
        <v>525</v>
      </c>
      <c r="C174" s="1">
        <f t="shared" si="385"/>
        <v>682</v>
      </c>
      <c r="D174" s="1">
        <f t="shared" si="386"/>
        <v>451</v>
      </c>
      <c r="E174" s="1">
        <f t="shared" si="387"/>
        <v>586</v>
      </c>
      <c r="F174" s="1">
        <f t="shared" si="388"/>
        <v>465</v>
      </c>
      <c r="G174" s="1">
        <f t="shared" si="389"/>
        <v>604</v>
      </c>
      <c r="H174">
        <f t="shared" si="390"/>
        <v>181</v>
      </c>
      <c r="I174">
        <f t="shared" si="391"/>
        <v>235</v>
      </c>
      <c r="J174">
        <f t="shared" si="392"/>
        <v>304</v>
      </c>
      <c r="K174">
        <f t="shared" si="393"/>
        <v>395</v>
      </c>
      <c r="L174">
        <f t="shared" si="394"/>
        <v>49</v>
      </c>
      <c r="M174">
        <f t="shared" si="395"/>
        <v>63</v>
      </c>
      <c r="N174">
        <f t="shared" si="396"/>
        <v>197</v>
      </c>
      <c r="O174" s="1">
        <v>525</v>
      </c>
      <c r="P174" s="1">
        <v>682</v>
      </c>
      <c r="Q174" s="1">
        <v>451</v>
      </c>
      <c r="R174" s="1">
        <v>586</v>
      </c>
      <c r="S174" s="1">
        <v>78</v>
      </c>
      <c r="T174" s="1">
        <v>101</v>
      </c>
      <c r="U174" s="1">
        <v>152</v>
      </c>
      <c r="V174" s="1">
        <v>197</v>
      </c>
      <c r="W174" s="1">
        <v>181</v>
      </c>
      <c r="X174" s="1">
        <v>235</v>
      </c>
      <c r="Y174" s="1">
        <v>231</v>
      </c>
      <c r="Z174" s="1">
        <v>300</v>
      </c>
      <c r="AA174" s="1">
        <v>78</v>
      </c>
      <c r="AB174" s="1">
        <v>102</v>
      </c>
      <c r="AC174" s="1">
        <v>304</v>
      </c>
      <c r="AD174" s="1">
        <v>395</v>
      </c>
      <c r="AE174" s="1">
        <v>78</v>
      </c>
      <c r="AF174" s="1">
        <v>101</v>
      </c>
      <c r="AG174" s="1">
        <v>49</v>
      </c>
      <c r="AH174" s="1">
        <v>63</v>
      </c>
      <c r="AI174" s="1">
        <v>25</v>
      </c>
      <c r="AJ174">
        <v>147</v>
      </c>
    </row>
    <row r="175" spans="1:36" x14ac:dyDescent="0.15">
      <c r="A175">
        <v>148</v>
      </c>
      <c r="B175" s="1">
        <f t="shared" si="384"/>
        <v>525</v>
      </c>
      <c r="C175" s="1">
        <f t="shared" si="385"/>
        <v>682</v>
      </c>
      <c r="D175" s="1">
        <f t="shared" si="386"/>
        <v>451</v>
      </c>
      <c r="E175" s="1">
        <f t="shared" si="387"/>
        <v>586</v>
      </c>
      <c r="F175" s="1">
        <f t="shared" si="388"/>
        <v>465</v>
      </c>
      <c r="G175" s="1">
        <f t="shared" si="389"/>
        <v>604</v>
      </c>
      <c r="H175">
        <f t="shared" si="390"/>
        <v>181</v>
      </c>
      <c r="I175">
        <f t="shared" si="391"/>
        <v>235</v>
      </c>
      <c r="J175">
        <f t="shared" si="392"/>
        <v>304</v>
      </c>
      <c r="K175">
        <f t="shared" si="393"/>
        <v>395</v>
      </c>
      <c r="L175">
        <f t="shared" si="394"/>
        <v>49</v>
      </c>
      <c r="M175">
        <f t="shared" si="395"/>
        <v>63</v>
      </c>
      <c r="N175">
        <f t="shared" si="396"/>
        <v>197</v>
      </c>
      <c r="O175" s="1">
        <v>525</v>
      </c>
      <c r="P175" s="1">
        <v>682</v>
      </c>
      <c r="Q175" s="1">
        <v>451</v>
      </c>
      <c r="R175" s="1">
        <v>586</v>
      </c>
      <c r="S175" s="1">
        <v>78</v>
      </c>
      <c r="T175" s="1">
        <v>101</v>
      </c>
      <c r="U175" s="1">
        <v>152</v>
      </c>
      <c r="V175" s="1">
        <v>197</v>
      </c>
      <c r="W175" s="1">
        <v>181</v>
      </c>
      <c r="X175" s="1">
        <v>235</v>
      </c>
      <c r="Y175" s="1">
        <v>231</v>
      </c>
      <c r="Z175" s="1">
        <v>300</v>
      </c>
      <c r="AA175" s="1">
        <v>78</v>
      </c>
      <c r="AB175" s="1">
        <v>102</v>
      </c>
      <c r="AC175" s="1">
        <v>304</v>
      </c>
      <c r="AD175" s="1">
        <v>395</v>
      </c>
      <c r="AE175" s="1">
        <v>78</v>
      </c>
      <c r="AF175" s="1">
        <v>101</v>
      </c>
      <c r="AG175" s="1">
        <v>49</v>
      </c>
      <c r="AH175" s="1">
        <v>63</v>
      </c>
      <c r="AI175" s="1">
        <v>25</v>
      </c>
      <c r="AJ175">
        <v>148</v>
      </c>
    </row>
    <row r="176" spans="1:36" x14ac:dyDescent="0.15">
      <c r="A176">
        <v>149</v>
      </c>
      <c r="B176" s="1">
        <f t="shared" si="384"/>
        <v>525</v>
      </c>
      <c r="C176" s="1">
        <f t="shared" si="385"/>
        <v>682</v>
      </c>
      <c r="D176" s="1">
        <f t="shared" si="386"/>
        <v>451</v>
      </c>
      <c r="E176" s="1">
        <f t="shared" si="387"/>
        <v>586</v>
      </c>
      <c r="F176" s="1">
        <f t="shared" si="388"/>
        <v>465</v>
      </c>
      <c r="G176" s="1">
        <f t="shared" si="389"/>
        <v>604</v>
      </c>
      <c r="H176">
        <f t="shared" si="390"/>
        <v>181</v>
      </c>
      <c r="I176">
        <f t="shared" si="391"/>
        <v>235</v>
      </c>
      <c r="J176">
        <f t="shared" si="392"/>
        <v>304</v>
      </c>
      <c r="K176">
        <f t="shared" si="393"/>
        <v>395</v>
      </c>
      <c r="L176">
        <f t="shared" si="394"/>
        <v>49</v>
      </c>
      <c r="M176">
        <f t="shared" si="395"/>
        <v>63</v>
      </c>
      <c r="N176">
        <f t="shared" si="396"/>
        <v>197</v>
      </c>
      <c r="O176" s="1">
        <v>525</v>
      </c>
      <c r="P176" s="1">
        <v>682</v>
      </c>
      <c r="Q176" s="1">
        <v>451</v>
      </c>
      <c r="R176" s="1">
        <v>586</v>
      </c>
      <c r="S176" s="1">
        <v>78</v>
      </c>
      <c r="T176" s="1">
        <v>101</v>
      </c>
      <c r="U176" s="1">
        <v>152</v>
      </c>
      <c r="V176" s="1">
        <v>197</v>
      </c>
      <c r="W176" s="1">
        <v>181</v>
      </c>
      <c r="X176" s="1">
        <v>235</v>
      </c>
      <c r="Y176" s="1">
        <v>231</v>
      </c>
      <c r="Z176" s="1">
        <v>300</v>
      </c>
      <c r="AA176" s="1">
        <v>78</v>
      </c>
      <c r="AB176" s="1">
        <v>102</v>
      </c>
      <c r="AC176" s="1">
        <v>304</v>
      </c>
      <c r="AD176" s="1">
        <v>395</v>
      </c>
      <c r="AE176" s="1">
        <v>78</v>
      </c>
      <c r="AF176" s="1">
        <v>101</v>
      </c>
      <c r="AG176" s="1">
        <v>49</v>
      </c>
      <c r="AH176" s="1">
        <v>63</v>
      </c>
      <c r="AI176" s="1">
        <v>25</v>
      </c>
      <c r="AJ176">
        <v>149</v>
      </c>
    </row>
    <row r="177" spans="1:36" x14ac:dyDescent="0.15">
      <c r="A177">
        <v>150</v>
      </c>
      <c r="B177" s="1">
        <f t="shared" si="20"/>
        <v>561</v>
      </c>
      <c r="C177" s="1">
        <f t="shared" si="21"/>
        <v>729</v>
      </c>
      <c r="D177" s="1">
        <f t="shared" si="22"/>
        <v>483</v>
      </c>
      <c r="E177" s="1">
        <f t="shared" si="23"/>
        <v>627</v>
      </c>
      <c r="F177" s="1">
        <f t="shared" si="24"/>
        <v>498</v>
      </c>
      <c r="G177" s="1">
        <f t="shared" si="25"/>
        <v>647</v>
      </c>
      <c r="H177">
        <f t="shared" si="26"/>
        <v>194</v>
      </c>
      <c r="I177">
        <f t="shared" si="27"/>
        <v>252</v>
      </c>
      <c r="J177">
        <f t="shared" si="28"/>
        <v>325</v>
      </c>
      <c r="K177">
        <f t="shared" si="29"/>
        <v>423</v>
      </c>
      <c r="L177">
        <f t="shared" si="30"/>
        <v>52</v>
      </c>
      <c r="M177">
        <f t="shared" si="31"/>
        <v>67</v>
      </c>
      <c r="N177">
        <f t="shared" si="32"/>
        <v>211</v>
      </c>
      <c r="O177" s="1">
        <v>561</v>
      </c>
      <c r="P177" s="1">
        <v>729</v>
      </c>
      <c r="Q177" s="1">
        <v>483</v>
      </c>
      <c r="R177" s="1">
        <v>627</v>
      </c>
      <c r="S177" s="1">
        <v>84</v>
      </c>
      <c r="T177" s="1">
        <v>109</v>
      </c>
      <c r="U177" s="1">
        <v>162</v>
      </c>
      <c r="V177" s="1">
        <v>211</v>
      </c>
      <c r="W177" s="1">
        <v>194</v>
      </c>
      <c r="X177" s="1">
        <v>252</v>
      </c>
      <c r="Y177" s="1">
        <v>246</v>
      </c>
      <c r="Z177" s="1">
        <v>320</v>
      </c>
      <c r="AA177" s="1">
        <v>84</v>
      </c>
      <c r="AB177" s="1">
        <v>109</v>
      </c>
      <c r="AC177" s="1">
        <v>325</v>
      </c>
      <c r="AD177" s="1">
        <v>423</v>
      </c>
      <c r="AE177" s="1">
        <v>84</v>
      </c>
      <c r="AF177" s="1">
        <v>109</v>
      </c>
      <c r="AG177" s="1">
        <v>52</v>
      </c>
      <c r="AH177" s="1">
        <v>67</v>
      </c>
      <c r="AI177" s="1">
        <v>25</v>
      </c>
      <c r="AJ177">
        <v>150</v>
      </c>
    </row>
    <row r="178" spans="1:36" x14ac:dyDescent="0.15">
      <c r="A178">
        <v>151</v>
      </c>
      <c r="B178" s="1">
        <f t="shared" ref="B178:B179" si="397">O178</f>
        <v>561</v>
      </c>
      <c r="C178" s="1">
        <f t="shared" ref="C178:C179" si="398">P178</f>
        <v>729</v>
      </c>
      <c r="D178" s="1">
        <f t="shared" ref="D178:D179" si="399">Q178</f>
        <v>483</v>
      </c>
      <c r="E178" s="1">
        <f t="shared" ref="E178:E179" si="400">R178</f>
        <v>627</v>
      </c>
      <c r="F178" s="1">
        <f t="shared" ref="F178:F179" si="401">S178+Y178+AA178+AE178</f>
        <v>498</v>
      </c>
      <c r="G178" s="1">
        <f t="shared" ref="G178:G179" si="402">T178+Z178+AB178+AF178</f>
        <v>647</v>
      </c>
      <c r="H178">
        <f t="shared" ref="H178:H179" si="403">W178</f>
        <v>194</v>
      </c>
      <c r="I178">
        <f t="shared" ref="I178:I179" si="404">X178</f>
        <v>252</v>
      </c>
      <c r="J178">
        <f t="shared" ref="J178:J179" si="405">AC178</f>
        <v>325</v>
      </c>
      <c r="K178">
        <f t="shared" ref="K178:K179" si="406">AD178</f>
        <v>423</v>
      </c>
      <c r="L178">
        <f t="shared" ref="L178:L179" si="407">AG178</f>
        <v>52</v>
      </c>
      <c r="M178">
        <f t="shared" ref="M178:M179" si="408">AH178</f>
        <v>67</v>
      </c>
      <c r="N178">
        <f t="shared" ref="N178:N179" si="409">V178</f>
        <v>211</v>
      </c>
      <c r="O178" s="1">
        <v>561</v>
      </c>
      <c r="P178" s="1">
        <v>729</v>
      </c>
      <c r="Q178" s="1">
        <v>483</v>
      </c>
      <c r="R178" s="1">
        <v>627</v>
      </c>
      <c r="S178" s="1">
        <v>84</v>
      </c>
      <c r="T178" s="1">
        <v>109</v>
      </c>
      <c r="U178" s="1">
        <v>162</v>
      </c>
      <c r="V178" s="1">
        <v>211</v>
      </c>
      <c r="W178" s="1">
        <v>194</v>
      </c>
      <c r="X178" s="1">
        <v>252</v>
      </c>
      <c r="Y178" s="1">
        <v>246</v>
      </c>
      <c r="Z178" s="1">
        <v>320</v>
      </c>
      <c r="AA178" s="1">
        <v>84</v>
      </c>
      <c r="AB178" s="1">
        <v>109</v>
      </c>
      <c r="AC178" s="1">
        <v>325</v>
      </c>
      <c r="AD178" s="1">
        <v>423</v>
      </c>
      <c r="AE178" s="1">
        <v>84</v>
      </c>
      <c r="AF178" s="1">
        <v>109</v>
      </c>
      <c r="AG178" s="1">
        <v>52</v>
      </c>
      <c r="AH178" s="1">
        <v>67</v>
      </c>
      <c r="AI178" s="1">
        <v>25</v>
      </c>
      <c r="AJ178">
        <v>151</v>
      </c>
    </row>
    <row r="179" spans="1:36" x14ac:dyDescent="0.15">
      <c r="A179">
        <v>152</v>
      </c>
      <c r="B179" s="1">
        <f t="shared" si="397"/>
        <v>561</v>
      </c>
      <c r="C179" s="1">
        <f t="shared" si="398"/>
        <v>729</v>
      </c>
      <c r="D179" s="1">
        <f t="shared" si="399"/>
        <v>483</v>
      </c>
      <c r="E179" s="1">
        <f t="shared" si="400"/>
        <v>627</v>
      </c>
      <c r="F179" s="1">
        <f t="shared" si="401"/>
        <v>498</v>
      </c>
      <c r="G179" s="1">
        <f t="shared" si="402"/>
        <v>647</v>
      </c>
      <c r="H179">
        <f t="shared" si="403"/>
        <v>194</v>
      </c>
      <c r="I179">
        <f t="shared" si="404"/>
        <v>252</v>
      </c>
      <c r="J179">
        <f t="shared" si="405"/>
        <v>325</v>
      </c>
      <c r="K179">
        <f t="shared" si="406"/>
        <v>423</v>
      </c>
      <c r="L179">
        <f t="shared" si="407"/>
        <v>52</v>
      </c>
      <c r="M179">
        <f t="shared" si="408"/>
        <v>67</v>
      </c>
      <c r="N179">
        <f t="shared" si="409"/>
        <v>211</v>
      </c>
      <c r="O179" s="1">
        <v>561</v>
      </c>
      <c r="P179" s="1">
        <v>729</v>
      </c>
      <c r="Q179" s="1">
        <v>483</v>
      </c>
      <c r="R179" s="1">
        <v>627</v>
      </c>
      <c r="S179" s="1">
        <v>84</v>
      </c>
      <c r="T179" s="1">
        <v>109</v>
      </c>
      <c r="U179" s="1">
        <v>162</v>
      </c>
      <c r="V179" s="1">
        <v>211</v>
      </c>
      <c r="W179" s="1">
        <v>194</v>
      </c>
      <c r="X179" s="1">
        <v>252</v>
      </c>
      <c r="Y179" s="1">
        <v>246</v>
      </c>
      <c r="Z179" s="1">
        <v>320</v>
      </c>
      <c r="AA179" s="1">
        <v>84</v>
      </c>
      <c r="AB179" s="1">
        <v>109</v>
      </c>
      <c r="AC179" s="1">
        <v>325</v>
      </c>
      <c r="AD179" s="1">
        <v>423</v>
      </c>
      <c r="AE179" s="1">
        <v>84</v>
      </c>
      <c r="AF179" s="1">
        <v>109</v>
      </c>
      <c r="AG179" s="1">
        <v>52</v>
      </c>
      <c r="AH179" s="1">
        <v>67</v>
      </c>
      <c r="AI179" s="1">
        <v>25</v>
      </c>
      <c r="AJ179">
        <v>152</v>
      </c>
    </row>
    <row r="180" spans="1:36" x14ac:dyDescent="0.15">
      <c r="A180">
        <v>153</v>
      </c>
      <c r="B180" s="1">
        <f t="shared" ref="B180:B186" si="410">O180</f>
        <v>561</v>
      </c>
      <c r="C180" s="1">
        <f t="shared" ref="C180:C186" si="411">P180</f>
        <v>729</v>
      </c>
      <c r="D180" s="1">
        <f t="shared" ref="D180:D186" si="412">Q180</f>
        <v>483</v>
      </c>
      <c r="E180" s="1">
        <f t="shared" ref="E180:E186" si="413">R180</f>
        <v>627</v>
      </c>
      <c r="F180" s="1">
        <f t="shared" ref="F180:F186" si="414">S180+Y180+AA180+AE180</f>
        <v>498</v>
      </c>
      <c r="G180" s="1">
        <f t="shared" ref="G180:G186" si="415">T180+Z180+AB180+AF180</f>
        <v>647</v>
      </c>
      <c r="H180">
        <f t="shared" ref="H180:H186" si="416">W180</f>
        <v>194</v>
      </c>
      <c r="I180">
        <f t="shared" ref="I180:I186" si="417">X180</f>
        <v>252</v>
      </c>
      <c r="J180">
        <f t="shared" ref="J180:J186" si="418">AC180</f>
        <v>325</v>
      </c>
      <c r="K180">
        <f t="shared" ref="K180:K186" si="419">AD180</f>
        <v>423</v>
      </c>
      <c r="L180">
        <f t="shared" ref="L180:L186" si="420">AG180</f>
        <v>52</v>
      </c>
      <c r="M180">
        <f t="shared" ref="M180:M186" si="421">AH180</f>
        <v>67</v>
      </c>
      <c r="N180">
        <f t="shared" ref="N180:N186" si="422">V180</f>
        <v>211</v>
      </c>
      <c r="O180" s="1">
        <v>561</v>
      </c>
      <c r="P180" s="1">
        <v>729</v>
      </c>
      <c r="Q180" s="1">
        <v>483</v>
      </c>
      <c r="R180" s="1">
        <v>627</v>
      </c>
      <c r="S180" s="1">
        <v>84</v>
      </c>
      <c r="T180" s="1">
        <v>109</v>
      </c>
      <c r="U180" s="1">
        <v>162</v>
      </c>
      <c r="V180" s="1">
        <v>211</v>
      </c>
      <c r="W180" s="1">
        <v>194</v>
      </c>
      <c r="X180" s="1">
        <v>252</v>
      </c>
      <c r="Y180" s="1">
        <v>246</v>
      </c>
      <c r="Z180" s="1">
        <v>320</v>
      </c>
      <c r="AA180" s="1">
        <v>84</v>
      </c>
      <c r="AB180" s="1">
        <v>109</v>
      </c>
      <c r="AC180" s="1">
        <v>325</v>
      </c>
      <c r="AD180" s="1">
        <v>423</v>
      </c>
      <c r="AE180" s="1">
        <v>84</v>
      </c>
      <c r="AF180" s="1">
        <v>109</v>
      </c>
      <c r="AG180" s="1">
        <v>52</v>
      </c>
      <c r="AH180" s="1">
        <v>67</v>
      </c>
      <c r="AI180" s="1">
        <v>25</v>
      </c>
      <c r="AJ180">
        <v>153</v>
      </c>
    </row>
    <row r="181" spans="1:36" x14ac:dyDescent="0.15">
      <c r="A181">
        <v>154</v>
      </c>
      <c r="B181" s="1">
        <f t="shared" si="410"/>
        <v>561</v>
      </c>
      <c r="C181" s="1">
        <f t="shared" si="411"/>
        <v>729</v>
      </c>
      <c r="D181" s="1">
        <f t="shared" si="412"/>
        <v>483</v>
      </c>
      <c r="E181" s="1">
        <f t="shared" si="413"/>
        <v>627</v>
      </c>
      <c r="F181" s="1">
        <f t="shared" si="414"/>
        <v>498</v>
      </c>
      <c r="G181" s="1">
        <f t="shared" si="415"/>
        <v>647</v>
      </c>
      <c r="H181">
        <f t="shared" si="416"/>
        <v>194</v>
      </c>
      <c r="I181">
        <f t="shared" si="417"/>
        <v>252</v>
      </c>
      <c r="J181">
        <f t="shared" si="418"/>
        <v>325</v>
      </c>
      <c r="K181">
        <f t="shared" si="419"/>
        <v>423</v>
      </c>
      <c r="L181">
        <f t="shared" si="420"/>
        <v>52</v>
      </c>
      <c r="M181">
        <f t="shared" si="421"/>
        <v>67</v>
      </c>
      <c r="N181">
        <f t="shared" si="422"/>
        <v>211</v>
      </c>
      <c r="O181" s="1">
        <v>561</v>
      </c>
      <c r="P181" s="1">
        <v>729</v>
      </c>
      <c r="Q181" s="1">
        <v>483</v>
      </c>
      <c r="R181" s="1">
        <v>627</v>
      </c>
      <c r="S181" s="1">
        <v>84</v>
      </c>
      <c r="T181" s="1">
        <v>109</v>
      </c>
      <c r="U181" s="1">
        <v>162</v>
      </c>
      <c r="V181" s="1">
        <v>211</v>
      </c>
      <c r="W181" s="1">
        <v>194</v>
      </c>
      <c r="X181" s="1">
        <v>252</v>
      </c>
      <c r="Y181" s="1">
        <v>246</v>
      </c>
      <c r="Z181" s="1">
        <v>320</v>
      </c>
      <c r="AA181" s="1">
        <v>84</v>
      </c>
      <c r="AB181" s="1">
        <v>109</v>
      </c>
      <c r="AC181" s="1">
        <v>325</v>
      </c>
      <c r="AD181" s="1">
        <v>423</v>
      </c>
      <c r="AE181" s="1">
        <v>84</v>
      </c>
      <c r="AF181" s="1">
        <v>109</v>
      </c>
      <c r="AG181" s="1">
        <v>52</v>
      </c>
      <c r="AH181" s="1">
        <v>67</v>
      </c>
      <c r="AI181" s="1">
        <v>25</v>
      </c>
      <c r="AJ181">
        <v>154</v>
      </c>
    </row>
    <row r="182" spans="1:36" x14ac:dyDescent="0.15">
      <c r="A182">
        <v>155</v>
      </c>
      <c r="B182" s="1">
        <f t="shared" si="410"/>
        <v>561</v>
      </c>
      <c r="C182" s="1">
        <f t="shared" si="411"/>
        <v>729</v>
      </c>
      <c r="D182" s="1">
        <f t="shared" si="412"/>
        <v>483</v>
      </c>
      <c r="E182" s="1">
        <f t="shared" si="413"/>
        <v>627</v>
      </c>
      <c r="F182" s="1">
        <f t="shared" si="414"/>
        <v>498</v>
      </c>
      <c r="G182" s="1">
        <f t="shared" si="415"/>
        <v>647</v>
      </c>
      <c r="H182">
        <f t="shared" si="416"/>
        <v>194</v>
      </c>
      <c r="I182">
        <f t="shared" si="417"/>
        <v>252</v>
      </c>
      <c r="J182">
        <f t="shared" si="418"/>
        <v>325</v>
      </c>
      <c r="K182">
        <f t="shared" si="419"/>
        <v>423</v>
      </c>
      <c r="L182">
        <f t="shared" si="420"/>
        <v>52</v>
      </c>
      <c r="M182">
        <f t="shared" si="421"/>
        <v>67</v>
      </c>
      <c r="N182">
        <f t="shared" si="422"/>
        <v>211</v>
      </c>
      <c r="O182" s="1">
        <v>561</v>
      </c>
      <c r="P182" s="1">
        <v>729</v>
      </c>
      <c r="Q182" s="1">
        <v>483</v>
      </c>
      <c r="R182" s="1">
        <v>627</v>
      </c>
      <c r="S182" s="1">
        <v>84</v>
      </c>
      <c r="T182" s="1">
        <v>109</v>
      </c>
      <c r="U182" s="1">
        <v>162</v>
      </c>
      <c r="V182" s="1">
        <v>211</v>
      </c>
      <c r="W182" s="1">
        <v>194</v>
      </c>
      <c r="X182" s="1">
        <v>252</v>
      </c>
      <c r="Y182" s="1">
        <v>246</v>
      </c>
      <c r="Z182" s="1">
        <v>320</v>
      </c>
      <c r="AA182" s="1">
        <v>84</v>
      </c>
      <c r="AB182" s="1">
        <v>109</v>
      </c>
      <c r="AC182" s="1">
        <v>325</v>
      </c>
      <c r="AD182" s="1">
        <v>423</v>
      </c>
      <c r="AE182" s="1">
        <v>84</v>
      </c>
      <c r="AF182" s="1">
        <v>109</v>
      </c>
      <c r="AG182" s="1">
        <v>52</v>
      </c>
      <c r="AH182" s="1">
        <v>67</v>
      </c>
      <c r="AI182" s="1">
        <v>25</v>
      </c>
      <c r="AJ182">
        <v>155</v>
      </c>
    </row>
    <row r="183" spans="1:36" x14ac:dyDescent="0.15">
      <c r="A183">
        <v>156</v>
      </c>
      <c r="B183" s="1">
        <f t="shared" si="410"/>
        <v>561</v>
      </c>
      <c r="C183" s="1">
        <f t="shared" si="411"/>
        <v>729</v>
      </c>
      <c r="D183" s="1">
        <f t="shared" si="412"/>
        <v>483</v>
      </c>
      <c r="E183" s="1">
        <f t="shared" si="413"/>
        <v>627</v>
      </c>
      <c r="F183" s="1">
        <f t="shared" si="414"/>
        <v>498</v>
      </c>
      <c r="G183" s="1">
        <f t="shared" si="415"/>
        <v>647</v>
      </c>
      <c r="H183">
        <f t="shared" si="416"/>
        <v>194</v>
      </c>
      <c r="I183">
        <f t="shared" si="417"/>
        <v>252</v>
      </c>
      <c r="J183">
        <f t="shared" si="418"/>
        <v>325</v>
      </c>
      <c r="K183">
        <f t="shared" si="419"/>
        <v>423</v>
      </c>
      <c r="L183">
        <f t="shared" si="420"/>
        <v>52</v>
      </c>
      <c r="M183">
        <f t="shared" si="421"/>
        <v>67</v>
      </c>
      <c r="N183">
        <f t="shared" si="422"/>
        <v>211</v>
      </c>
      <c r="O183" s="1">
        <v>561</v>
      </c>
      <c r="P183" s="1">
        <v>729</v>
      </c>
      <c r="Q183" s="1">
        <v>483</v>
      </c>
      <c r="R183" s="1">
        <v>627</v>
      </c>
      <c r="S183" s="1">
        <v>84</v>
      </c>
      <c r="T183" s="1">
        <v>109</v>
      </c>
      <c r="U183" s="1">
        <v>162</v>
      </c>
      <c r="V183" s="1">
        <v>211</v>
      </c>
      <c r="W183" s="1">
        <v>194</v>
      </c>
      <c r="X183" s="1">
        <v>252</v>
      </c>
      <c r="Y183" s="1">
        <v>246</v>
      </c>
      <c r="Z183" s="1">
        <v>320</v>
      </c>
      <c r="AA183" s="1">
        <v>84</v>
      </c>
      <c r="AB183" s="1">
        <v>109</v>
      </c>
      <c r="AC183" s="1">
        <v>325</v>
      </c>
      <c r="AD183" s="1">
        <v>423</v>
      </c>
      <c r="AE183" s="1">
        <v>84</v>
      </c>
      <c r="AF183" s="1">
        <v>109</v>
      </c>
      <c r="AG183" s="1">
        <v>52</v>
      </c>
      <c r="AH183" s="1">
        <v>67</v>
      </c>
      <c r="AI183" s="1">
        <v>25</v>
      </c>
      <c r="AJ183">
        <v>156</v>
      </c>
    </row>
    <row r="184" spans="1:36" x14ac:dyDescent="0.15">
      <c r="A184">
        <v>157</v>
      </c>
      <c r="B184" s="1">
        <f t="shared" si="410"/>
        <v>561</v>
      </c>
      <c r="C184" s="1">
        <f t="shared" si="411"/>
        <v>729</v>
      </c>
      <c r="D184" s="1">
        <f t="shared" si="412"/>
        <v>483</v>
      </c>
      <c r="E184" s="1">
        <f t="shared" si="413"/>
        <v>627</v>
      </c>
      <c r="F184" s="1">
        <f t="shared" si="414"/>
        <v>498</v>
      </c>
      <c r="G184" s="1">
        <f t="shared" si="415"/>
        <v>647</v>
      </c>
      <c r="H184">
        <f t="shared" si="416"/>
        <v>194</v>
      </c>
      <c r="I184">
        <f t="shared" si="417"/>
        <v>252</v>
      </c>
      <c r="J184">
        <f t="shared" si="418"/>
        <v>325</v>
      </c>
      <c r="K184">
        <f t="shared" si="419"/>
        <v>423</v>
      </c>
      <c r="L184">
        <f t="shared" si="420"/>
        <v>52</v>
      </c>
      <c r="M184">
        <f t="shared" si="421"/>
        <v>67</v>
      </c>
      <c r="N184">
        <f t="shared" si="422"/>
        <v>211</v>
      </c>
      <c r="O184" s="1">
        <v>561</v>
      </c>
      <c r="P184" s="1">
        <v>729</v>
      </c>
      <c r="Q184" s="1">
        <v>483</v>
      </c>
      <c r="R184" s="1">
        <v>627</v>
      </c>
      <c r="S184" s="1">
        <v>84</v>
      </c>
      <c r="T184" s="1">
        <v>109</v>
      </c>
      <c r="U184" s="1">
        <v>162</v>
      </c>
      <c r="V184" s="1">
        <v>211</v>
      </c>
      <c r="W184" s="1">
        <v>194</v>
      </c>
      <c r="X184" s="1">
        <v>252</v>
      </c>
      <c r="Y184" s="1">
        <v>246</v>
      </c>
      <c r="Z184" s="1">
        <v>320</v>
      </c>
      <c r="AA184" s="1">
        <v>84</v>
      </c>
      <c r="AB184" s="1">
        <v>109</v>
      </c>
      <c r="AC184" s="1">
        <v>325</v>
      </c>
      <c r="AD184" s="1">
        <v>423</v>
      </c>
      <c r="AE184" s="1">
        <v>84</v>
      </c>
      <c r="AF184" s="1">
        <v>109</v>
      </c>
      <c r="AG184" s="1">
        <v>52</v>
      </c>
      <c r="AH184" s="1">
        <v>67</v>
      </c>
      <c r="AI184" s="1">
        <v>25</v>
      </c>
      <c r="AJ184">
        <v>157</v>
      </c>
    </row>
    <row r="185" spans="1:36" x14ac:dyDescent="0.15">
      <c r="A185">
        <v>158</v>
      </c>
      <c r="B185" s="1">
        <f t="shared" si="410"/>
        <v>561</v>
      </c>
      <c r="C185" s="1">
        <f t="shared" si="411"/>
        <v>729</v>
      </c>
      <c r="D185" s="1">
        <f t="shared" si="412"/>
        <v>483</v>
      </c>
      <c r="E185" s="1">
        <f t="shared" si="413"/>
        <v>627</v>
      </c>
      <c r="F185" s="1">
        <f t="shared" si="414"/>
        <v>498</v>
      </c>
      <c r="G185" s="1">
        <f t="shared" si="415"/>
        <v>647</v>
      </c>
      <c r="H185">
        <f t="shared" si="416"/>
        <v>194</v>
      </c>
      <c r="I185">
        <f t="shared" si="417"/>
        <v>252</v>
      </c>
      <c r="J185">
        <f t="shared" si="418"/>
        <v>325</v>
      </c>
      <c r="K185">
        <f t="shared" si="419"/>
        <v>423</v>
      </c>
      <c r="L185">
        <f t="shared" si="420"/>
        <v>52</v>
      </c>
      <c r="M185">
        <f t="shared" si="421"/>
        <v>67</v>
      </c>
      <c r="N185">
        <f t="shared" si="422"/>
        <v>211</v>
      </c>
      <c r="O185" s="1">
        <v>561</v>
      </c>
      <c r="P185" s="1">
        <v>729</v>
      </c>
      <c r="Q185" s="1">
        <v>483</v>
      </c>
      <c r="R185" s="1">
        <v>627</v>
      </c>
      <c r="S185" s="1">
        <v>84</v>
      </c>
      <c r="T185" s="1">
        <v>109</v>
      </c>
      <c r="U185" s="1">
        <v>162</v>
      </c>
      <c r="V185" s="1">
        <v>211</v>
      </c>
      <c r="W185" s="1">
        <v>194</v>
      </c>
      <c r="X185" s="1">
        <v>252</v>
      </c>
      <c r="Y185" s="1">
        <v>246</v>
      </c>
      <c r="Z185" s="1">
        <v>320</v>
      </c>
      <c r="AA185" s="1">
        <v>84</v>
      </c>
      <c r="AB185" s="1">
        <v>109</v>
      </c>
      <c r="AC185" s="1">
        <v>325</v>
      </c>
      <c r="AD185" s="1">
        <v>423</v>
      </c>
      <c r="AE185" s="1">
        <v>84</v>
      </c>
      <c r="AF185" s="1">
        <v>109</v>
      </c>
      <c r="AG185" s="1">
        <v>52</v>
      </c>
      <c r="AH185" s="1">
        <v>67</v>
      </c>
      <c r="AI185" s="1">
        <v>25</v>
      </c>
      <c r="AJ185">
        <v>158</v>
      </c>
    </row>
    <row r="186" spans="1:36" x14ac:dyDescent="0.15">
      <c r="A186">
        <v>159</v>
      </c>
      <c r="B186" s="1">
        <f t="shared" si="410"/>
        <v>561</v>
      </c>
      <c r="C186" s="1">
        <f t="shared" si="411"/>
        <v>729</v>
      </c>
      <c r="D186" s="1">
        <f t="shared" si="412"/>
        <v>483</v>
      </c>
      <c r="E186" s="1">
        <f t="shared" si="413"/>
        <v>627</v>
      </c>
      <c r="F186" s="1">
        <f t="shared" si="414"/>
        <v>498</v>
      </c>
      <c r="G186" s="1">
        <f t="shared" si="415"/>
        <v>647</v>
      </c>
      <c r="H186">
        <f t="shared" si="416"/>
        <v>194</v>
      </c>
      <c r="I186">
        <f t="shared" si="417"/>
        <v>252</v>
      </c>
      <c r="J186">
        <f t="shared" si="418"/>
        <v>325</v>
      </c>
      <c r="K186">
        <f t="shared" si="419"/>
        <v>423</v>
      </c>
      <c r="L186">
        <f t="shared" si="420"/>
        <v>52</v>
      </c>
      <c r="M186">
        <f t="shared" si="421"/>
        <v>67</v>
      </c>
      <c r="N186">
        <f t="shared" si="422"/>
        <v>211</v>
      </c>
      <c r="O186" s="1">
        <v>561</v>
      </c>
      <c r="P186" s="1">
        <v>729</v>
      </c>
      <c r="Q186" s="1">
        <v>483</v>
      </c>
      <c r="R186" s="1">
        <v>627</v>
      </c>
      <c r="S186" s="1">
        <v>84</v>
      </c>
      <c r="T186" s="1">
        <v>109</v>
      </c>
      <c r="U186" s="1">
        <v>162</v>
      </c>
      <c r="V186" s="1">
        <v>211</v>
      </c>
      <c r="W186" s="1">
        <v>194</v>
      </c>
      <c r="X186" s="1">
        <v>252</v>
      </c>
      <c r="Y186" s="1">
        <v>246</v>
      </c>
      <c r="Z186" s="1">
        <v>320</v>
      </c>
      <c r="AA186" s="1">
        <v>84</v>
      </c>
      <c r="AB186" s="1">
        <v>109</v>
      </c>
      <c r="AC186" s="1">
        <v>325</v>
      </c>
      <c r="AD186" s="1">
        <v>423</v>
      </c>
      <c r="AE186" s="1">
        <v>84</v>
      </c>
      <c r="AF186" s="1">
        <v>109</v>
      </c>
      <c r="AG186" s="1">
        <v>52</v>
      </c>
      <c r="AH186" s="1">
        <v>67</v>
      </c>
      <c r="AI186" s="1">
        <v>25</v>
      </c>
      <c r="AJ186">
        <v>159</v>
      </c>
    </row>
    <row r="187" spans="1:36" x14ac:dyDescent="0.15">
      <c r="A187">
        <v>160</v>
      </c>
      <c r="B187" s="1">
        <f t="shared" si="20"/>
        <v>571</v>
      </c>
      <c r="C187" s="1">
        <f t="shared" si="21"/>
        <v>777</v>
      </c>
      <c r="D187" s="1">
        <f t="shared" si="22"/>
        <v>490</v>
      </c>
      <c r="E187" s="1">
        <f t="shared" si="23"/>
        <v>667</v>
      </c>
      <c r="F187" s="1">
        <f t="shared" si="24"/>
        <v>501</v>
      </c>
      <c r="G187" s="1">
        <f t="shared" si="25"/>
        <v>685</v>
      </c>
      <c r="H187">
        <f t="shared" si="26"/>
        <v>196</v>
      </c>
      <c r="I187">
        <f t="shared" si="27"/>
        <v>267</v>
      </c>
      <c r="J187">
        <f t="shared" si="28"/>
        <v>329</v>
      </c>
      <c r="K187">
        <f t="shared" si="29"/>
        <v>449</v>
      </c>
      <c r="L187">
        <f t="shared" si="30"/>
        <v>52</v>
      </c>
      <c r="M187">
        <f t="shared" si="31"/>
        <v>70</v>
      </c>
      <c r="N187">
        <f t="shared" si="32"/>
        <v>224</v>
      </c>
      <c r="O187" s="1">
        <v>571</v>
      </c>
      <c r="P187" s="1">
        <v>777</v>
      </c>
      <c r="Q187" s="1">
        <v>490</v>
      </c>
      <c r="R187" s="1">
        <v>667</v>
      </c>
      <c r="S187" s="1">
        <v>84</v>
      </c>
      <c r="T187" s="1">
        <v>115</v>
      </c>
      <c r="U187" s="1">
        <v>163</v>
      </c>
      <c r="V187" s="1">
        <v>224</v>
      </c>
      <c r="W187" s="1">
        <v>196</v>
      </c>
      <c r="X187" s="1">
        <v>267</v>
      </c>
      <c r="Y187" s="1">
        <v>249</v>
      </c>
      <c r="Z187" s="1">
        <v>340</v>
      </c>
      <c r="AA187" s="1">
        <v>84</v>
      </c>
      <c r="AB187" s="1">
        <v>115</v>
      </c>
      <c r="AC187" s="1">
        <v>329</v>
      </c>
      <c r="AD187" s="1">
        <v>449</v>
      </c>
      <c r="AE187" s="1">
        <v>84</v>
      </c>
      <c r="AF187" s="1">
        <v>115</v>
      </c>
      <c r="AG187" s="1">
        <v>52</v>
      </c>
      <c r="AH187" s="1">
        <v>70</v>
      </c>
      <c r="AI187" s="1">
        <v>25</v>
      </c>
      <c r="AJ187">
        <v>160</v>
      </c>
    </row>
    <row r="188" spans="1:36" x14ac:dyDescent="0.15">
      <c r="A188">
        <v>161</v>
      </c>
      <c r="B188" s="1">
        <f t="shared" ref="B188:B189" si="423">O188</f>
        <v>571</v>
      </c>
      <c r="C188" s="1">
        <f t="shared" ref="C188:C189" si="424">P188</f>
        <v>777</v>
      </c>
      <c r="D188" s="1">
        <f t="shared" ref="D188:D189" si="425">Q188</f>
        <v>490</v>
      </c>
      <c r="E188" s="1">
        <f t="shared" ref="E188:E189" si="426">R188</f>
        <v>667</v>
      </c>
      <c r="F188" s="1">
        <f t="shared" ref="F188:F189" si="427">S188+Y188+AA188+AE188</f>
        <v>501</v>
      </c>
      <c r="G188" s="1">
        <f t="shared" ref="G188:G189" si="428">T188+Z188+AB188+AF188</f>
        <v>685</v>
      </c>
      <c r="H188">
        <f t="shared" ref="H188:H189" si="429">W188</f>
        <v>196</v>
      </c>
      <c r="I188">
        <f t="shared" ref="I188:I189" si="430">X188</f>
        <v>267</v>
      </c>
      <c r="J188">
        <f t="shared" ref="J188:J189" si="431">AC188</f>
        <v>329</v>
      </c>
      <c r="K188">
        <f t="shared" ref="K188:K189" si="432">AD188</f>
        <v>449</v>
      </c>
      <c r="L188">
        <f t="shared" ref="L188:L189" si="433">AG188</f>
        <v>52</v>
      </c>
      <c r="M188">
        <f t="shared" ref="M188:M189" si="434">AH188</f>
        <v>70</v>
      </c>
      <c r="N188">
        <f t="shared" ref="N188:N189" si="435">V188</f>
        <v>224</v>
      </c>
      <c r="O188" s="1">
        <v>571</v>
      </c>
      <c r="P188" s="1">
        <v>777</v>
      </c>
      <c r="Q188" s="1">
        <v>490</v>
      </c>
      <c r="R188" s="1">
        <v>667</v>
      </c>
      <c r="S188" s="1">
        <v>84</v>
      </c>
      <c r="T188" s="1">
        <v>115</v>
      </c>
      <c r="U188" s="1">
        <v>163</v>
      </c>
      <c r="V188" s="1">
        <v>224</v>
      </c>
      <c r="W188" s="1">
        <v>196</v>
      </c>
      <c r="X188" s="1">
        <v>267</v>
      </c>
      <c r="Y188" s="1">
        <v>249</v>
      </c>
      <c r="Z188" s="1">
        <v>340</v>
      </c>
      <c r="AA188" s="1">
        <v>84</v>
      </c>
      <c r="AB188" s="1">
        <v>115</v>
      </c>
      <c r="AC188" s="1">
        <v>329</v>
      </c>
      <c r="AD188" s="1">
        <v>449</v>
      </c>
      <c r="AE188" s="1">
        <v>84</v>
      </c>
      <c r="AF188" s="1">
        <v>115</v>
      </c>
      <c r="AG188" s="1">
        <v>52</v>
      </c>
      <c r="AH188" s="1">
        <v>70</v>
      </c>
      <c r="AI188" s="1">
        <v>25</v>
      </c>
      <c r="AJ188">
        <v>161</v>
      </c>
    </row>
    <row r="189" spans="1:36" x14ac:dyDescent="0.15">
      <c r="A189">
        <v>162</v>
      </c>
      <c r="B189" s="1">
        <f t="shared" si="423"/>
        <v>571</v>
      </c>
      <c r="C189" s="1">
        <f t="shared" si="424"/>
        <v>777</v>
      </c>
      <c r="D189" s="1">
        <f t="shared" si="425"/>
        <v>490</v>
      </c>
      <c r="E189" s="1">
        <f t="shared" si="426"/>
        <v>667</v>
      </c>
      <c r="F189" s="1">
        <f t="shared" si="427"/>
        <v>501</v>
      </c>
      <c r="G189" s="1">
        <f t="shared" si="428"/>
        <v>685</v>
      </c>
      <c r="H189">
        <f t="shared" si="429"/>
        <v>196</v>
      </c>
      <c r="I189">
        <f t="shared" si="430"/>
        <v>267</v>
      </c>
      <c r="J189">
        <f t="shared" si="431"/>
        <v>329</v>
      </c>
      <c r="K189">
        <f t="shared" si="432"/>
        <v>449</v>
      </c>
      <c r="L189">
        <f t="shared" si="433"/>
        <v>52</v>
      </c>
      <c r="M189">
        <f t="shared" si="434"/>
        <v>70</v>
      </c>
      <c r="N189">
        <f t="shared" si="435"/>
        <v>224</v>
      </c>
      <c r="O189" s="1">
        <v>571</v>
      </c>
      <c r="P189" s="1">
        <v>777</v>
      </c>
      <c r="Q189" s="1">
        <v>490</v>
      </c>
      <c r="R189" s="1">
        <v>667</v>
      </c>
      <c r="S189" s="1">
        <v>84</v>
      </c>
      <c r="T189" s="1">
        <v>115</v>
      </c>
      <c r="U189" s="1">
        <v>163</v>
      </c>
      <c r="V189" s="1">
        <v>224</v>
      </c>
      <c r="W189" s="1">
        <v>196</v>
      </c>
      <c r="X189" s="1">
        <v>267</v>
      </c>
      <c r="Y189" s="1">
        <v>249</v>
      </c>
      <c r="Z189" s="1">
        <v>340</v>
      </c>
      <c r="AA189" s="1">
        <v>84</v>
      </c>
      <c r="AB189" s="1">
        <v>115</v>
      </c>
      <c r="AC189" s="1">
        <v>329</v>
      </c>
      <c r="AD189" s="1">
        <v>449</v>
      </c>
      <c r="AE189" s="1">
        <v>84</v>
      </c>
      <c r="AF189" s="1">
        <v>115</v>
      </c>
      <c r="AG189" s="1">
        <v>52</v>
      </c>
      <c r="AH189" s="1">
        <v>70</v>
      </c>
      <c r="AI189" s="1">
        <v>25</v>
      </c>
      <c r="AJ189">
        <v>162</v>
      </c>
    </row>
    <row r="190" spans="1:36" x14ac:dyDescent="0.15">
      <c r="A190">
        <v>163</v>
      </c>
      <c r="B190" s="1">
        <f t="shared" ref="B190:B196" si="436">O190</f>
        <v>571</v>
      </c>
      <c r="C190" s="1">
        <f t="shared" ref="C190:C196" si="437">P190</f>
        <v>777</v>
      </c>
      <c r="D190" s="1">
        <f t="shared" ref="D190:D196" si="438">Q190</f>
        <v>490</v>
      </c>
      <c r="E190" s="1">
        <f t="shared" ref="E190:E196" si="439">R190</f>
        <v>667</v>
      </c>
      <c r="F190" s="1">
        <f t="shared" ref="F190:F196" si="440">S190+Y190+AA190+AE190</f>
        <v>501</v>
      </c>
      <c r="G190" s="1">
        <f t="shared" ref="G190:G196" si="441">T190+Z190+AB190+AF190</f>
        <v>685</v>
      </c>
      <c r="H190">
        <f t="shared" ref="H190:H196" si="442">W190</f>
        <v>196</v>
      </c>
      <c r="I190">
        <f t="shared" ref="I190:I196" si="443">X190</f>
        <v>267</v>
      </c>
      <c r="J190">
        <f t="shared" ref="J190:J196" si="444">AC190</f>
        <v>329</v>
      </c>
      <c r="K190">
        <f t="shared" ref="K190:K196" si="445">AD190</f>
        <v>449</v>
      </c>
      <c r="L190">
        <f t="shared" ref="L190:L196" si="446">AG190</f>
        <v>52</v>
      </c>
      <c r="M190">
        <f t="shared" ref="M190:M196" si="447">AH190</f>
        <v>70</v>
      </c>
      <c r="N190">
        <f t="shared" ref="N190:N196" si="448">V190</f>
        <v>224</v>
      </c>
      <c r="O190" s="1">
        <v>571</v>
      </c>
      <c r="P190" s="1">
        <v>777</v>
      </c>
      <c r="Q190" s="1">
        <v>490</v>
      </c>
      <c r="R190" s="1">
        <v>667</v>
      </c>
      <c r="S190" s="1">
        <v>84</v>
      </c>
      <c r="T190" s="1">
        <v>115</v>
      </c>
      <c r="U190" s="1">
        <v>163</v>
      </c>
      <c r="V190" s="1">
        <v>224</v>
      </c>
      <c r="W190" s="1">
        <v>196</v>
      </c>
      <c r="X190" s="1">
        <v>267</v>
      </c>
      <c r="Y190" s="1">
        <v>249</v>
      </c>
      <c r="Z190" s="1">
        <v>340</v>
      </c>
      <c r="AA190" s="1">
        <v>84</v>
      </c>
      <c r="AB190" s="1">
        <v>115</v>
      </c>
      <c r="AC190" s="1">
        <v>329</v>
      </c>
      <c r="AD190" s="1">
        <v>449</v>
      </c>
      <c r="AE190" s="1">
        <v>84</v>
      </c>
      <c r="AF190" s="1">
        <v>115</v>
      </c>
      <c r="AG190" s="1">
        <v>52</v>
      </c>
      <c r="AH190" s="1">
        <v>70</v>
      </c>
      <c r="AI190" s="1">
        <v>25</v>
      </c>
      <c r="AJ190">
        <v>163</v>
      </c>
    </row>
    <row r="191" spans="1:36" x14ac:dyDescent="0.15">
      <c r="A191">
        <v>164</v>
      </c>
      <c r="B191" s="1">
        <f t="shared" si="436"/>
        <v>571</v>
      </c>
      <c r="C191" s="1">
        <f t="shared" si="437"/>
        <v>777</v>
      </c>
      <c r="D191" s="1">
        <f t="shared" si="438"/>
        <v>490</v>
      </c>
      <c r="E191" s="1">
        <f t="shared" si="439"/>
        <v>667</v>
      </c>
      <c r="F191" s="1">
        <f t="shared" si="440"/>
        <v>501</v>
      </c>
      <c r="G191" s="1">
        <f t="shared" si="441"/>
        <v>685</v>
      </c>
      <c r="H191">
        <f t="shared" si="442"/>
        <v>196</v>
      </c>
      <c r="I191">
        <f t="shared" si="443"/>
        <v>267</v>
      </c>
      <c r="J191">
        <f t="shared" si="444"/>
        <v>329</v>
      </c>
      <c r="K191">
        <f t="shared" si="445"/>
        <v>449</v>
      </c>
      <c r="L191">
        <f t="shared" si="446"/>
        <v>52</v>
      </c>
      <c r="M191">
        <f t="shared" si="447"/>
        <v>70</v>
      </c>
      <c r="N191">
        <f t="shared" si="448"/>
        <v>224</v>
      </c>
      <c r="O191" s="1">
        <v>571</v>
      </c>
      <c r="P191" s="1">
        <v>777</v>
      </c>
      <c r="Q191" s="1">
        <v>490</v>
      </c>
      <c r="R191" s="1">
        <v>667</v>
      </c>
      <c r="S191" s="1">
        <v>84</v>
      </c>
      <c r="T191" s="1">
        <v>115</v>
      </c>
      <c r="U191" s="1">
        <v>163</v>
      </c>
      <c r="V191" s="1">
        <v>224</v>
      </c>
      <c r="W191" s="1">
        <v>196</v>
      </c>
      <c r="X191" s="1">
        <v>267</v>
      </c>
      <c r="Y191" s="1">
        <v>249</v>
      </c>
      <c r="Z191" s="1">
        <v>340</v>
      </c>
      <c r="AA191" s="1">
        <v>84</v>
      </c>
      <c r="AB191" s="1">
        <v>115</v>
      </c>
      <c r="AC191" s="1">
        <v>329</v>
      </c>
      <c r="AD191" s="1">
        <v>449</v>
      </c>
      <c r="AE191" s="1">
        <v>84</v>
      </c>
      <c r="AF191" s="1">
        <v>115</v>
      </c>
      <c r="AG191" s="1">
        <v>52</v>
      </c>
      <c r="AH191" s="1">
        <v>70</v>
      </c>
      <c r="AI191" s="1">
        <v>25</v>
      </c>
      <c r="AJ191">
        <v>164</v>
      </c>
    </row>
    <row r="192" spans="1:36" x14ac:dyDescent="0.15">
      <c r="A192">
        <v>165</v>
      </c>
      <c r="B192" s="1">
        <f t="shared" si="436"/>
        <v>571</v>
      </c>
      <c r="C192" s="1">
        <f t="shared" si="437"/>
        <v>777</v>
      </c>
      <c r="D192" s="1">
        <f t="shared" si="438"/>
        <v>490</v>
      </c>
      <c r="E192" s="1">
        <f t="shared" si="439"/>
        <v>667</v>
      </c>
      <c r="F192" s="1">
        <f t="shared" si="440"/>
        <v>501</v>
      </c>
      <c r="G192" s="1">
        <f t="shared" si="441"/>
        <v>685</v>
      </c>
      <c r="H192">
        <f t="shared" si="442"/>
        <v>196</v>
      </c>
      <c r="I192">
        <f t="shared" si="443"/>
        <v>267</v>
      </c>
      <c r="J192">
        <f t="shared" si="444"/>
        <v>329</v>
      </c>
      <c r="K192">
        <f t="shared" si="445"/>
        <v>449</v>
      </c>
      <c r="L192">
        <f t="shared" si="446"/>
        <v>52</v>
      </c>
      <c r="M192">
        <f t="shared" si="447"/>
        <v>70</v>
      </c>
      <c r="N192">
        <f t="shared" si="448"/>
        <v>224</v>
      </c>
      <c r="O192" s="1">
        <v>571</v>
      </c>
      <c r="P192" s="1">
        <v>777</v>
      </c>
      <c r="Q192" s="1">
        <v>490</v>
      </c>
      <c r="R192" s="1">
        <v>667</v>
      </c>
      <c r="S192" s="1">
        <v>84</v>
      </c>
      <c r="T192" s="1">
        <v>115</v>
      </c>
      <c r="U192" s="1">
        <v>163</v>
      </c>
      <c r="V192" s="1">
        <v>224</v>
      </c>
      <c r="W192" s="1">
        <v>196</v>
      </c>
      <c r="X192" s="1">
        <v>267</v>
      </c>
      <c r="Y192" s="1">
        <v>249</v>
      </c>
      <c r="Z192" s="1">
        <v>340</v>
      </c>
      <c r="AA192" s="1">
        <v>84</v>
      </c>
      <c r="AB192" s="1">
        <v>115</v>
      </c>
      <c r="AC192" s="1">
        <v>329</v>
      </c>
      <c r="AD192" s="1">
        <v>449</v>
      </c>
      <c r="AE192" s="1">
        <v>84</v>
      </c>
      <c r="AF192" s="1">
        <v>115</v>
      </c>
      <c r="AG192" s="1">
        <v>52</v>
      </c>
      <c r="AH192" s="1">
        <v>70</v>
      </c>
      <c r="AI192" s="1">
        <v>25</v>
      </c>
      <c r="AJ192">
        <v>165</v>
      </c>
    </row>
    <row r="193" spans="1:36" x14ac:dyDescent="0.15">
      <c r="A193">
        <v>166</v>
      </c>
      <c r="B193" s="1">
        <f t="shared" si="436"/>
        <v>571</v>
      </c>
      <c r="C193" s="1">
        <f t="shared" si="437"/>
        <v>777</v>
      </c>
      <c r="D193" s="1">
        <f t="shared" si="438"/>
        <v>490</v>
      </c>
      <c r="E193" s="1">
        <f t="shared" si="439"/>
        <v>667</v>
      </c>
      <c r="F193" s="1">
        <f t="shared" si="440"/>
        <v>501</v>
      </c>
      <c r="G193" s="1">
        <f t="shared" si="441"/>
        <v>685</v>
      </c>
      <c r="H193">
        <f t="shared" si="442"/>
        <v>196</v>
      </c>
      <c r="I193">
        <f t="shared" si="443"/>
        <v>267</v>
      </c>
      <c r="J193">
        <f t="shared" si="444"/>
        <v>329</v>
      </c>
      <c r="K193">
        <f t="shared" si="445"/>
        <v>449</v>
      </c>
      <c r="L193">
        <f t="shared" si="446"/>
        <v>52</v>
      </c>
      <c r="M193">
        <f t="shared" si="447"/>
        <v>70</v>
      </c>
      <c r="N193">
        <f t="shared" si="448"/>
        <v>224</v>
      </c>
      <c r="O193" s="1">
        <v>571</v>
      </c>
      <c r="P193" s="1">
        <v>777</v>
      </c>
      <c r="Q193" s="1">
        <v>490</v>
      </c>
      <c r="R193" s="1">
        <v>667</v>
      </c>
      <c r="S193" s="1">
        <v>84</v>
      </c>
      <c r="T193" s="1">
        <v>115</v>
      </c>
      <c r="U193" s="1">
        <v>163</v>
      </c>
      <c r="V193" s="1">
        <v>224</v>
      </c>
      <c r="W193" s="1">
        <v>196</v>
      </c>
      <c r="X193" s="1">
        <v>267</v>
      </c>
      <c r="Y193" s="1">
        <v>249</v>
      </c>
      <c r="Z193" s="1">
        <v>340</v>
      </c>
      <c r="AA193" s="1">
        <v>84</v>
      </c>
      <c r="AB193" s="1">
        <v>115</v>
      </c>
      <c r="AC193" s="1">
        <v>329</v>
      </c>
      <c r="AD193" s="1">
        <v>449</v>
      </c>
      <c r="AE193" s="1">
        <v>84</v>
      </c>
      <c r="AF193" s="1">
        <v>115</v>
      </c>
      <c r="AG193" s="1">
        <v>52</v>
      </c>
      <c r="AH193" s="1">
        <v>70</v>
      </c>
      <c r="AI193" s="1">
        <v>25</v>
      </c>
      <c r="AJ193">
        <v>166</v>
      </c>
    </row>
    <row r="194" spans="1:36" x14ac:dyDescent="0.15">
      <c r="A194">
        <v>167</v>
      </c>
      <c r="B194" s="1">
        <f t="shared" si="436"/>
        <v>571</v>
      </c>
      <c r="C194" s="1">
        <f t="shared" si="437"/>
        <v>777</v>
      </c>
      <c r="D194" s="1">
        <f t="shared" si="438"/>
        <v>490</v>
      </c>
      <c r="E194" s="1">
        <f t="shared" si="439"/>
        <v>667</v>
      </c>
      <c r="F194" s="1">
        <f t="shared" si="440"/>
        <v>501</v>
      </c>
      <c r="G194" s="1">
        <f t="shared" si="441"/>
        <v>685</v>
      </c>
      <c r="H194">
        <f t="shared" si="442"/>
        <v>196</v>
      </c>
      <c r="I194">
        <f t="shared" si="443"/>
        <v>267</v>
      </c>
      <c r="J194">
        <f t="shared" si="444"/>
        <v>329</v>
      </c>
      <c r="K194">
        <f t="shared" si="445"/>
        <v>449</v>
      </c>
      <c r="L194">
        <f t="shared" si="446"/>
        <v>52</v>
      </c>
      <c r="M194">
        <f t="shared" si="447"/>
        <v>70</v>
      </c>
      <c r="N194">
        <f t="shared" si="448"/>
        <v>224</v>
      </c>
      <c r="O194" s="1">
        <v>571</v>
      </c>
      <c r="P194" s="1">
        <v>777</v>
      </c>
      <c r="Q194" s="1">
        <v>490</v>
      </c>
      <c r="R194" s="1">
        <v>667</v>
      </c>
      <c r="S194" s="1">
        <v>84</v>
      </c>
      <c r="T194" s="1">
        <v>115</v>
      </c>
      <c r="U194" s="1">
        <v>163</v>
      </c>
      <c r="V194" s="1">
        <v>224</v>
      </c>
      <c r="W194" s="1">
        <v>196</v>
      </c>
      <c r="X194" s="1">
        <v>267</v>
      </c>
      <c r="Y194" s="1">
        <v>249</v>
      </c>
      <c r="Z194" s="1">
        <v>340</v>
      </c>
      <c r="AA194" s="1">
        <v>84</v>
      </c>
      <c r="AB194" s="1">
        <v>115</v>
      </c>
      <c r="AC194" s="1">
        <v>329</v>
      </c>
      <c r="AD194" s="1">
        <v>449</v>
      </c>
      <c r="AE194" s="1">
        <v>84</v>
      </c>
      <c r="AF194" s="1">
        <v>115</v>
      </c>
      <c r="AG194" s="1">
        <v>52</v>
      </c>
      <c r="AH194" s="1">
        <v>70</v>
      </c>
      <c r="AI194" s="1">
        <v>25</v>
      </c>
      <c r="AJ194">
        <v>167</v>
      </c>
    </row>
    <row r="195" spans="1:36" x14ac:dyDescent="0.15">
      <c r="A195">
        <v>168</v>
      </c>
      <c r="B195" s="1">
        <f t="shared" si="436"/>
        <v>571</v>
      </c>
      <c r="C195" s="1">
        <f t="shared" si="437"/>
        <v>777</v>
      </c>
      <c r="D195" s="1">
        <f t="shared" si="438"/>
        <v>490</v>
      </c>
      <c r="E195" s="1">
        <f t="shared" si="439"/>
        <v>667</v>
      </c>
      <c r="F195" s="1">
        <f t="shared" si="440"/>
        <v>501</v>
      </c>
      <c r="G195" s="1">
        <f t="shared" si="441"/>
        <v>685</v>
      </c>
      <c r="H195">
        <f t="shared" si="442"/>
        <v>196</v>
      </c>
      <c r="I195">
        <f t="shared" si="443"/>
        <v>267</v>
      </c>
      <c r="J195">
        <f t="shared" si="444"/>
        <v>329</v>
      </c>
      <c r="K195">
        <f t="shared" si="445"/>
        <v>449</v>
      </c>
      <c r="L195">
        <f t="shared" si="446"/>
        <v>52</v>
      </c>
      <c r="M195">
        <f t="shared" si="447"/>
        <v>70</v>
      </c>
      <c r="N195">
        <f t="shared" si="448"/>
        <v>224</v>
      </c>
      <c r="O195" s="1">
        <v>571</v>
      </c>
      <c r="P195" s="1">
        <v>777</v>
      </c>
      <c r="Q195" s="1">
        <v>490</v>
      </c>
      <c r="R195" s="1">
        <v>667</v>
      </c>
      <c r="S195" s="1">
        <v>84</v>
      </c>
      <c r="T195" s="1">
        <v>115</v>
      </c>
      <c r="U195" s="1">
        <v>163</v>
      </c>
      <c r="V195" s="1">
        <v>224</v>
      </c>
      <c r="W195" s="1">
        <v>196</v>
      </c>
      <c r="X195" s="1">
        <v>267</v>
      </c>
      <c r="Y195" s="1">
        <v>249</v>
      </c>
      <c r="Z195" s="1">
        <v>340</v>
      </c>
      <c r="AA195" s="1">
        <v>84</v>
      </c>
      <c r="AB195" s="1">
        <v>115</v>
      </c>
      <c r="AC195" s="1">
        <v>329</v>
      </c>
      <c r="AD195" s="1">
        <v>449</v>
      </c>
      <c r="AE195" s="1">
        <v>84</v>
      </c>
      <c r="AF195" s="1">
        <v>115</v>
      </c>
      <c r="AG195" s="1">
        <v>52</v>
      </c>
      <c r="AH195" s="1">
        <v>70</v>
      </c>
      <c r="AI195" s="1">
        <v>25</v>
      </c>
      <c r="AJ195">
        <v>168</v>
      </c>
    </row>
    <row r="196" spans="1:36" x14ac:dyDescent="0.15">
      <c r="A196">
        <v>169</v>
      </c>
      <c r="B196" s="1">
        <f t="shared" si="436"/>
        <v>571</v>
      </c>
      <c r="C196" s="1">
        <f t="shared" si="437"/>
        <v>777</v>
      </c>
      <c r="D196" s="1">
        <f t="shared" si="438"/>
        <v>490</v>
      </c>
      <c r="E196" s="1">
        <f t="shared" si="439"/>
        <v>667</v>
      </c>
      <c r="F196" s="1">
        <f t="shared" si="440"/>
        <v>501</v>
      </c>
      <c r="G196" s="1">
        <f t="shared" si="441"/>
        <v>685</v>
      </c>
      <c r="H196">
        <f t="shared" si="442"/>
        <v>196</v>
      </c>
      <c r="I196">
        <f t="shared" si="443"/>
        <v>267</v>
      </c>
      <c r="J196">
        <f t="shared" si="444"/>
        <v>329</v>
      </c>
      <c r="K196">
        <f t="shared" si="445"/>
        <v>449</v>
      </c>
      <c r="L196">
        <f t="shared" si="446"/>
        <v>52</v>
      </c>
      <c r="M196">
        <f t="shared" si="447"/>
        <v>70</v>
      </c>
      <c r="N196">
        <f t="shared" si="448"/>
        <v>224</v>
      </c>
      <c r="O196" s="1">
        <v>571</v>
      </c>
      <c r="P196" s="1">
        <v>777</v>
      </c>
      <c r="Q196" s="1">
        <v>490</v>
      </c>
      <c r="R196" s="1">
        <v>667</v>
      </c>
      <c r="S196" s="1">
        <v>84</v>
      </c>
      <c r="T196" s="1">
        <v>115</v>
      </c>
      <c r="U196" s="1">
        <v>163</v>
      </c>
      <c r="V196" s="1">
        <v>224</v>
      </c>
      <c r="W196" s="1">
        <v>196</v>
      </c>
      <c r="X196" s="1">
        <v>267</v>
      </c>
      <c r="Y196" s="1">
        <v>249</v>
      </c>
      <c r="Z196" s="1">
        <v>340</v>
      </c>
      <c r="AA196" s="1">
        <v>84</v>
      </c>
      <c r="AB196" s="1">
        <v>115</v>
      </c>
      <c r="AC196" s="1">
        <v>329</v>
      </c>
      <c r="AD196" s="1">
        <v>449</v>
      </c>
      <c r="AE196" s="1">
        <v>84</v>
      </c>
      <c r="AF196" s="1">
        <v>115</v>
      </c>
      <c r="AG196" s="1">
        <v>52</v>
      </c>
      <c r="AH196" s="1">
        <v>70</v>
      </c>
      <c r="AI196" s="1">
        <v>25</v>
      </c>
      <c r="AJ196">
        <v>169</v>
      </c>
    </row>
    <row r="197" spans="1:36" x14ac:dyDescent="0.15">
      <c r="A197">
        <v>170</v>
      </c>
      <c r="B197" s="1">
        <f t="shared" si="20"/>
        <v>571</v>
      </c>
      <c r="C197" s="1">
        <f t="shared" si="21"/>
        <v>777</v>
      </c>
      <c r="D197" s="1">
        <f t="shared" si="22"/>
        <v>490</v>
      </c>
      <c r="E197" s="1">
        <f t="shared" si="23"/>
        <v>667</v>
      </c>
      <c r="F197" s="1">
        <f t="shared" si="24"/>
        <v>501</v>
      </c>
      <c r="G197" s="1">
        <f t="shared" si="25"/>
        <v>685</v>
      </c>
      <c r="H197">
        <f t="shared" si="26"/>
        <v>196</v>
      </c>
      <c r="I197">
        <f t="shared" si="27"/>
        <v>267</v>
      </c>
      <c r="J197">
        <f t="shared" si="28"/>
        <v>329</v>
      </c>
      <c r="K197">
        <f t="shared" si="29"/>
        <v>449</v>
      </c>
      <c r="L197">
        <f t="shared" si="30"/>
        <v>52</v>
      </c>
      <c r="M197">
        <f t="shared" si="31"/>
        <v>70</v>
      </c>
      <c r="N197">
        <f t="shared" si="32"/>
        <v>224</v>
      </c>
      <c r="O197" s="1">
        <v>571</v>
      </c>
      <c r="P197" s="1">
        <v>777</v>
      </c>
      <c r="Q197" s="1">
        <v>490</v>
      </c>
      <c r="R197" s="1">
        <v>667</v>
      </c>
      <c r="S197" s="1">
        <v>84</v>
      </c>
      <c r="T197" s="1">
        <v>115</v>
      </c>
      <c r="U197" s="1">
        <v>163</v>
      </c>
      <c r="V197" s="1">
        <v>224</v>
      </c>
      <c r="W197" s="1">
        <v>196</v>
      </c>
      <c r="X197" s="1">
        <v>267</v>
      </c>
      <c r="Y197" s="1">
        <v>249</v>
      </c>
      <c r="Z197" s="1">
        <v>340</v>
      </c>
      <c r="AA197" s="1">
        <v>84</v>
      </c>
      <c r="AB197" s="1">
        <v>115</v>
      </c>
      <c r="AC197" s="1">
        <v>329</v>
      </c>
      <c r="AD197" s="1">
        <v>449</v>
      </c>
      <c r="AE197" s="1">
        <v>84</v>
      </c>
      <c r="AF197" s="1">
        <v>115</v>
      </c>
      <c r="AG197" s="1">
        <v>52</v>
      </c>
      <c r="AH197" s="1">
        <v>70</v>
      </c>
      <c r="AI197" s="1">
        <v>25</v>
      </c>
      <c r="AJ197">
        <v>170</v>
      </c>
    </row>
    <row r="198" spans="1:36" x14ac:dyDescent="0.15">
      <c r="A198">
        <v>171</v>
      </c>
      <c r="B198" s="1">
        <f t="shared" ref="B198:B199" si="449">O198</f>
        <v>571</v>
      </c>
      <c r="C198" s="1">
        <f t="shared" ref="C198:C199" si="450">P198</f>
        <v>777</v>
      </c>
      <c r="D198" s="1">
        <f t="shared" ref="D198:D199" si="451">Q198</f>
        <v>490</v>
      </c>
      <c r="E198" s="1">
        <f t="shared" ref="E198:E199" si="452">R198</f>
        <v>667</v>
      </c>
      <c r="F198" s="1">
        <f t="shared" ref="F198:F199" si="453">S198+Y198+AA198+AE198</f>
        <v>501</v>
      </c>
      <c r="G198" s="1">
        <f t="shared" ref="G198:G199" si="454">T198+Z198+AB198+AF198</f>
        <v>685</v>
      </c>
      <c r="H198">
        <f t="shared" ref="H198:H199" si="455">W198</f>
        <v>196</v>
      </c>
      <c r="I198">
        <f t="shared" ref="I198:I199" si="456">X198</f>
        <v>267</v>
      </c>
      <c r="J198">
        <f t="shared" ref="J198:J199" si="457">AC198</f>
        <v>329</v>
      </c>
      <c r="K198">
        <f t="shared" ref="K198:K199" si="458">AD198</f>
        <v>449</v>
      </c>
      <c r="L198">
        <f t="shared" ref="L198:L199" si="459">AG198</f>
        <v>52</v>
      </c>
      <c r="M198">
        <f t="shared" ref="M198:M199" si="460">AH198</f>
        <v>70</v>
      </c>
      <c r="N198">
        <f t="shared" ref="N198:N199" si="461">V198</f>
        <v>224</v>
      </c>
      <c r="O198" s="1">
        <v>571</v>
      </c>
      <c r="P198" s="1">
        <v>777</v>
      </c>
      <c r="Q198" s="1">
        <v>490</v>
      </c>
      <c r="R198" s="1">
        <v>667</v>
      </c>
      <c r="S198" s="1">
        <v>84</v>
      </c>
      <c r="T198" s="1">
        <v>115</v>
      </c>
      <c r="U198" s="1">
        <v>163</v>
      </c>
      <c r="V198" s="1">
        <v>224</v>
      </c>
      <c r="W198" s="1">
        <v>196</v>
      </c>
      <c r="X198" s="1">
        <v>267</v>
      </c>
      <c r="Y198" s="1">
        <v>249</v>
      </c>
      <c r="Z198" s="1">
        <v>340</v>
      </c>
      <c r="AA198" s="1">
        <v>84</v>
      </c>
      <c r="AB198" s="1">
        <v>115</v>
      </c>
      <c r="AC198" s="1">
        <v>329</v>
      </c>
      <c r="AD198" s="1">
        <v>449</v>
      </c>
      <c r="AE198" s="1">
        <v>84</v>
      </c>
      <c r="AF198" s="1">
        <v>115</v>
      </c>
      <c r="AG198" s="1">
        <v>52</v>
      </c>
      <c r="AH198" s="1">
        <v>70</v>
      </c>
      <c r="AI198" s="1">
        <v>25</v>
      </c>
      <c r="AJ198">
        <v>171</v>
      </c>
    </row>
    <row r="199" spans="1:36" x14ac:dyDescent="0.15">
      <c r="A199">
        <v>172</v>
      </c>
      <c r="B199" s="1">
        <f t="shared" si="449"/>
        <v>571</v>
      </c>
      <c r="C199" s="1">
        <f t="shared" si="450"/>
        <v>777</v>
      </c>
      <c r="D199" s="1">
        <f t="shared" si="451"/>
        <v>490</v>
      </c>
      <c r="E199" s="1">
        <f t="shared" si="452"/>
        <v>667</v>
      </c>
      <c r="F199" s="1">
        <f t="shared" si="453"/>
        <v>501</v>
      </c>
      <c r="G199" s="1">
        <f t="shared" si="454"/>
        <v>685</v>
      </c>
      <c r="H199">
        <f t="shared" si="455"/>
        <v>196</v>
      </c>
      <c r="I199">
        <f t="shared" si="456"/>
        <v>267</v>
      </c>
      <c r="J199">
        <f t="shared" si="457"/>
        <v>329</v>
      </c>
      <c r="K199">
        <f t="shared" si="458"/>
        <v>449</v>
      </c>
      <c r="L199">
        <f t="shared" si="459"/>
        <v>52</v>
      </c>
      <c r="M199">
        <f t="shared" si="460"/>
        <v>70</v>
      </c>
      <c r="N199">
        <f t="shared" si="461"/>
        <v>224</v>
      </c>
      <c r="O199" s="1">
        <v>571</v>
      </c>
      <c r="P199" s="1">
        <v>777</v>
      </c>
      <c r="Q199" s="1">
        <v>490</v>
      </c>
      <c r="R199" s="1">
        <v>667</v>
      </c>
      <c r="S199" s="1">
        <v>84</v>
      </c>
      <c r="T199" s="1">
        <v>115</v>
      </c>
      <c r="U199" s="1">
        <v>163</v>
      </c>
      <c r="V199" s="1">
        <v>224</v>
      </c>
      <c r="W199" s="1">
        <v>196</v>
      </c>
      <c r="X199" s="1">
        <v>267</v>
      </c>
      <c r="Y199" s="1">
        <v>249</v>
      </c>
      <c r="Z199" s="1">
        <v>340</v>
      </c>
      <c r="AA199" s="1">
        <v>84</v>
      </c>
      <c r="AB199" s="1">
        <v>115</v>
      </c>
      <c r="AC199" s="1">
        <v>329</v>
      </c>
      <c r="AD199" s="1">
        <v>449</v>
      </c>
      <c r="AE199" s="1">
        <v>84</v>
      </c>
      <c r="AF199" s="1">
        <v>115</v>
      </c>
      <c r="AG199" s="1">
        <v>52</v>
      </c>
      <c r="AH199" s="1">
        <v>70</v>
      </c>
      <c r="AI199" s="1">
        <v>25</v>
      </c>
      <c r="AJ199">
        <v>172</v>
      </c>
    </row>
    <row r="200" spans="1:36" x14ac:dyDescent="0.15">
      <c r="A200">
        <v>173</v>
      </c>
      <c r="B200" s="1">
        <f t="shared" ref="B200:B201" si="462">O200</f>
        <v>571</v>
      </c>
      <c r="C200" s="1">
        <f t="shared" ref="C200:C201" si="463">P200</f>
        <v>777</v>
      </c>
      <c r="D200" s="1">
        <f t="shared" ref="D200:D201" si="464">Q200</f>
        <v>490</v>
      </c>
      <c r="E200" s="1">
        <f t="shared" ref="E200:E201" si="465">R200</f>
        <v>667</v>
      </c>
      <c r="F200" s="1">
        <f t="shared" ref="F200:F201" si="466">S200+Y200+AA200+AE200</f>
        <v>501</v>
      </c>
      <c r="G200" s="1">
        <f t="shared" ref="G200:G201" si="467">T200+Z200+AB200+AF200</f>
        <v>685</v>
      </c>
      <c r="H200">
        <f t="shared" ref="H200:H201" si="468">W200</f>
        <v>196</v>
      </c>
      <c r="I200">
        <f t="shared" ref="I200:I201" si="469">X200</f>
        <v>267</v>
      </c>
      <c r="J200">
        <f t="shared" ref="J200:J201" si="470">AC200</f>
        <v>329</v>
      </c>
      <c r="K200">
        <f t="shared" ref="K200:K201" si="471">AD200</f>
        <v>449</v>
      </c>
      <c r="L200">
        <f t="shared" ref="L200:L201" si="472">AG200</f>
        <v>52</v>
      </c>
      <c r="M200">
        <f t="shared" ref="M200:M201" si="473">AH200</f>
        <v>70</v>
      </c>
      <c r="N200">
        <f t="shared" ref="N200:N201" si="474">V200</f>
        <v>224</v>
      </c>
      <c r="O200" s="1">
        <v>571</v>
      </c>
      <c r="P200" s="1">
        <v>777</v>
      </c>
      <c r="Q200" s="1">
        <v>490</v>
      </c>
      <c r="R200" s="1">
        <v>667</v>
      </c>
      <c r="S200" s="1">
        <v>84</v>
      </c>
      <c r="T200" s="1">
        <v>115</v>
      </c>
      <c r="U200" s="1">
        <v>163</v>
      </c>
      <c r="V200" s="1">
        <v>224</v>
      </c>
      <c r="W200" s="1">
        <v>196</v>
      </c>
      <c r="X200" s="1">
        <v>267</v>
      </c>
      <c r="Y200" s="1">
        <v>249</v>
      </c>
      <c r="Z200" s="1">
        <v>340</v>
      </c>
      <c r="AA200" s="1">
        <v>84</v>
      </c>
      <c r="AB200" s="1">
        <v>115</v>
      </c>
      <c r="AC200" s="1">
        <v>329</v>
      </c>
      <c r="AD200" s="1">
        <v>449</v>
      </c>
      <c r="AE200" s="1">
        <v>84</v>
      </c>
      <c r="AF200" s="1">
        <v>115</v>
      </c>
      <c r="AG200" s="1">
        <v>52</v>
      </c>
      <c r="AH200" s="1">
        <v>70</v>
      </c>
      <c r="AI200" s="1">
        <v>25</v>
      </c>
      <c r="AJ200">
        <v>173</v>
      </c>
    </row>
    <row r="201" spans="1:36" x14ac:dyDescent="0.15">
      <c r="A201">
        <v>174</v>
      </c>
      <c r="B201" s="1">
        <f t="shared" si="462"/>
        <v>571</v>
      </c>
      <c r="C201" s="1">
        <f t="shared" si="463"/>
        <v>777</v>
      </c>
      <c r="D201" s="1">
        <f t="shared" si="464"/>
        <v>490</v>
      </c>
      <c r="E201" s="1">
        <f t="shared" si="465"/>
        <v>667</v>
      </c>
      <c r="F201" s="1">
        <f t="shared" si="466"/>
        <v>501</v>
      </c>
      <c r="G201" s="1">
        <f t="shared" si="467"/>
        <v>685</v>
      </c>
      <c r="H201">
        <f t="shared" si="468"/>
        <v>196</v>
      </c>
      <c r="I201">
        <f t="shared" si="469"/>
        <v>267</v>
      </c>
      <c r="J201">
        <f t="shared" si="470"/>
        <v>329</v>
      </c>
      <c r="K201">
        <f t="shared" si="471"/>
        <v>449</v>
      </c>
      <c r="L201">
        <f t="shared" si="472"/>
        <v>52</v>
      </c>
      <c r="M201">
        <f t="shared" si="473"/>
        <v>70</v>
      </c>
      <c r="N201">
        <f t="shared" si="474"/>
        <v>224</v>
      </c>
      <c r="O201" s="1">
        <v>571</v>
      </c>
      <c r="P201" s="1">
        <v>777</v>
      </c>
      <c r="Q201" s="1">
        <v>490</v>
      </c>
      <c r="R201" s="1">
        <v>667</v>
      </c>
      <c r="S201" s="1">
        <v>84</v>
      </c>
      <c r="T201" s="1">
        <v>115</v>
      </c>
      <c r="U201" s="1">
        <v>163</v>
      </c>
      <c r="V201" s="1">
        <v>224</v>
      </c>
      <c r="W201" s="1">
        <v>196</v>
      </c>
      <c r="X201" s="1">
        <v>267</v>
      </c>
      <c r="Y201" s="1">
        <v>249</v>
      </c>
      <c r="Z201" s="1">
        <v>340</v>
      </c>
      <c r="AA201" s="1">
        <v>84</v>
      </c>
      <c r="AB201" s="1">
        <v>115</v>
      </c>
      <c r="AC201" s="1">
        <v>329</v>
      </c>
      <c r="AD201" s="1">
        <v>449</v>
      </c>
      <c r="AE201" s="1">
        <v>84</v>
      </c>
      <c r="AF201" s="1">
        <v>115</v>
      </c>
      <c r="AG201" s="1">
        <v>52</v>
      </c>
      <c r="AH201" s="1">
        <v>70</v>
      </c>
      <c r="AI201" s="1">
        <v>25</v>
      </c>
      <c r="AJ201">
        <v>174</v>
      </c>
    </row>
    <row r="202" spans="1:36" x14ac:dyDescent="0.15">
      <c r="A202">
        <v>175</v>
      </c>
      <c r="B202" s="1">
        <f t="shared" ref="B202" si="475">O202</f>
        <v>571</v>
      </c>
      <c r="C202" s="1">
        <f t="shared" ref="C202" si="476">P202</f>
        <v>777</v>
      </c>
      <c r="D202" s="1">
        <f t="shared" ref="D202" si="477">Q202</f>
        <v>490</v>
      </c>
      <c r="E202" s="1">
        <f t="shared" ref="E202" si="478">R202</f>
        <v>667</v>
      </c>
      <c r="F202" s="1">
        <f t="shared" ref="F202" si="479">S202+Y202+AA202+AE202</f>
        <v>501</v>
      </c>
      <c r="G202" s="1">
        <f t="shared" ref="G202" si="480">T202+Z202+AB202+AF202</f>
        <v>685</v>
      </c>
      <c r="H202">
        <f t="shared" ref="H202" si="481">W202</f>
        <v>196</v>
      </c>
      <c r="I202">
        <f t="shared" ref="I202" si="482">X202</f>
        <v>267</v>
      </c>
      <c r="J202">
        <f t="shared" ref="J202" si="483">AC202</f>
        <v>329</v>
      </c>
      <c r="K202">
        <f t="shared" ref="K202" si="484">AD202</f>
        <v>449</v>
      </c>
      <c r="L202">
        <f t="shared" ref="L202" si="485">AG202</f>
        <v>52</v>
      </c>
      <c r="M202">
        <f t="shared" ref="M202" si="486">AH202</f>
        <v>70</v>
      </c>
      <c r="N202">
        <f t="shared" ref="N202" si="487">V202</f>
        <v>224</v>
      </c>
      <c r="O202" s="1">
        <v>571</v>
      </c>
      <c r="P202" s="1">
        <v>777</v>
      </c>
      <c r="Q202" s="1">
        <v>490</v>
      </c>
      <c r="R202" s="1">
        <v>667</v>
      </c>
      <c r="S202" s="1">
        <v>84</v>
      </c>
      <c r="T202" s="1">
        <v>115</v>
      </c>
      <c r="U202" s="1">
        <v>163</v>
      </c>
      <c r="V202" s="1">
        <v>224</v>
      </c>
      <c r="W202" s="1">
        <v>196</v>
      </c>
      <c r="X202" s="1">
        <v>267</v>
      </c>
      <c r="Y202" s="1">
        <v>249</v>
      </c>
      <c r="Z202" s="1">
        <v>340</v>
      </c>
      <c r="AA202" s="1">
        <v>84</v>
      </c>
      <c r="AB202" s="1">
        <v>115</v>
      </c>
      <c r="AC202" s="1">
        <v>329</v>
      </c>
      <c r="AD202" s="1">
        <v>449</v>
      </c>
      <c r="AE202" s="1">
        <v>84</v>
      </c>
      <c r="AF202" s="1">
        <v>115</v>
      </c>
      <c r="AG202" s="1">
        <v>52</v>
      </c>
      <c r="AH202" s="1">
        <v>70</v>
      </c>
      <c r="AI202" s="1">
        <v>25</v>
      </c>
      <c r="AJ202">
        <v>175</v>
      </c>
    </row>
    <row r="203" spans="1:36" x14ac:dyDescent="0.15">
      <c r="A203" t="s">
        <v>60</v>
      </c>
      <c r="B203" t="s">
        <v>55</v>
      </c>
      <c r="C203" t="s">
        <v>1</v>
      </c>
      <c r="D203" t="s">
        <v>5</v>
      </c>
      <c r="E203" t="s">
        <v>2</v>
      </c>
      <c r="F203" t="s">
        <v>59</v>
      </c>
      <c r="G203" t="s">
        <v>68</v>
      </c>
      <c r="H203" t="s">
        <v>69</v>
      </c>
    </row>
    <row r="204" spans="1:36" x14ac:dyDescent="0.15">
      <c r="A204" t="s">
        <v>58</v>
      </c>
      <c r="B204">
        <v>2</v>
      </c>
      <c r="C204">
        <v>0.7</v>
      </c>
      <c r="D204">
        <v>1.5</v>
      </c>
      <c r="E204">
        <v>5</v>
      </c>
      <c r="F204">
        <v>3</v>
      </c>
      <c r="G204">
        <v>30</v>
      </c>
      <c r="H204">
        <v>34</v>
      </c>
    </row>
    <row r="205" spans="1:36" x14ac:dyDescent="0.15">
      <c r="A205" t="s">
        <v>62</v>
      </c>
      <c r="B205">
        <v>2.2999999999999998</v>
      </c>
      <c r="C205">
        <v>0.8</v>
      </c>
      <c r="D205">
        <v>1.3</v>
      </c>
      <c r="E205">
        <v>6</v>
      </c>
      <c r="F205">
        <v>3.5</v>
      </c>
      <c r="G205">
        <v>29</v>
      </c>
      <c r="H205">
        <v>34</v>
      </c>
    </row>
    <row r="206" spans="1:36" x14ac:dyDescent="0.15">
      <c r="A206" t="s">
        <v>61</v>
      </c>
      <c r="B206">
        <v>1.7</v>
      </c>
      <c r="C206">
        <v>0.6</v>
      </c>
      <c r="D206">
        <v>1.6</v>
      </c>
      <c r="E206">
        <v>4.5</v>
      </c>
      <c r="F206">
        <v>3.5</v>
      </c>
      <c r="G206">
        <v>30</v>
      </c>
      <c r="H206">
        <v>40</v>
      </c>
    </row>
    <row r="207" spans="1:36" x14ac:dyDescent="0.15">
      <c r="A207" t="s">
        <v>72</v>
      </c>
      <c r="B207" s="2" t="s">
        <v>9</v>
      </c>
      <c r="C207" s="2" t="s">
        <v>10</v>
      </c>
      <c r="D207" s="2" t="s">
        <v>11</v>
      </c>
      <c r="E207" s="2" t="s">
        <v>12</v>
      </c>
      <c r="F207" s="2" t="s">
        <v>13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36" x14ac:dyDescent="0.15">
      <c r="A208" s="3" t="s">
        <v>73</v>
      </c>
      <c r="B208">
        <v>1</v>
      </c>
      <c r="C208">
        <v>1</v>
      </c>
      <c r="D208">
        <v>6</v>
      </c>
      <c r="E208">
        <v>1</v>
      </c>
      <c r="F208">
        <v>1</v>
      </c>
    </row>
    <row r="209" spans="1:6" x14ac:dyDescent="0.15">
      <c r="A209" s="3" t="s">
        <v>88</v>
      </c>
      <c r="B209">
        <v>3</v>
      </c>
      <c r="C209">
        <v>1</v>
      </c>
      <c r="D209">
        <v>4</v>
      </c>
      <c r="E209">
        <v>1</v>
      </c>
      <c r="F209">
        <v>1</v>
      </c>
    </row>
    <row r="210" spans="1:6" x14ac:dyDescent="0.15">
      <c r="A210" s="3" t="s">
        <v>74</v>
      </c>
      <c r="B210">
        <v>4</v>
      </c>
      <c r="C210">
        <v>1</v>
      </c>
      <c r="D210">
        <v>3</v>
      </c>
      <c r="E210">
        <v>1</v>
      </c>
      <c r="F210">
        <v>1</v>
      </c>
    </row>
    <row r="211" spans="1:6" x14ac:dyDescent="0.15">
      <c r="A211" s="3" t="s">
        <v>75</v>
      </c>
      <c r="B211">
        <v>1</v>
      </c>
      <c r="C211">
        <v>1</v>
      </c>
      <c r="D211">
        <v>4</v>
      </c>
      <c r="E211">
        <v>3</v>
      </c>
      <c r="F211">
        <v>1</v>
      </c>
    </row>
    <row r="212" spans="1:6" x14ac:dyDescent="0.15">
      <c r="A212" s="3" t="s">
        <v>89</v>
      </c>
      <c r="B212">
        <v>1</v>
      </c>
      <c r="C212">
        <v>1</v>
      </c>
      <c r="D212">
        <v>3</v>
      </c>
      <c r="E212">
        <v>4</v>
      </c>
      <c r="F212">
        <v>1</v>
      </c>
    </row>
    <row r="213" spans="1:6" x14ac:dyDescent="0.15">
      <c r="A213" s="3" t="s">
        <v>76</v>
      </c>
      <c r="B213">
        <v>1</v>
      </c>
      <c r="C213">
        <v>6</v>
      </c>
      <c r="D213">
        <v>1</v>
      </c>
      <c r="E213">
        <v>1</v>
      </c>
      <c r="F213">
        <v>1</v>
      </c>
    </row>
    <row r="214" spans="1:6" x14ac:dyDescent="0.15">
      <c r="A214" s="3" t="s">
        <v>87</v>
      </c>
      <c r="B214">
        <v>3</v>
      </c>
      <c r="C214">
        <v>4</v>
      </c>
      <c r="D214">
        <v>1</v>
      </c>
      <c r="E214">
        <v>1</v>
      </c>
      <c r="F214">
        <v>1</v>
      </c>
    </row>
    <row r="215" spans="1:6" x14ac:dyDescent="0.15">
      <c r="A215" s="3" t="s">
        <v>77</v>
      </c>
      <c r="B215">
        <v>3</v>
      </c>
      <c r="C215">
        <v>4</v>
      </c>
      <c r="D215">
        <v>1</v>
      </c>
      <c r="E215">
        <v>1</v>
      </c>
      <c r="F215">
        <v>1</v>
      </c>
    </row>
    <row r="216" spans="1:6" x14ac:dyDescent="0.15">
      <c r="A216" s="3" t="s">
        <v>78</v>
      </c>
      <c r="B216">
        <v>1</v>
      </c>
      <c r="C216">
        <v>4</v>
      </c>
      <c r="D216">
        <v>1</v>
      </c>
      <c r="E216">
        <v>3</v>
      </c>
      <c r="F216">
        <v>1</v>
      </c>
    </row>
    <row r="217" spans="1:6" x14ac:dyDescent="0.15">
      <c r="A217" s="3" t="s">
        <v>86</v>
      </c>
      <c r="B217">
        <v>1</v>
      </c>
      <c r="C217">
        <v>3</v>
      </c>
      <c r="D217">
        <v>1</v>
      </c>
      <c r="E217">
        <v>4</v>
      </c>
      <c r="F217">
        <v>1</v>
      </c>
    </row>
    <row r="218" spans="1:6" x14ac:dyDescent="0.15">
      <c r="A218" s="3" t="s">
        <v>79</v>
      </c>
      <c r="B218">
        <v>4</v>
      </c>
      <c r="C218">
        <v>1</v>
      </c>
      <c r="D218">
        <v>1</v>
      </c>
      <c r="E218">
        <v>3</v>
      </c>
      <c r="F218">
        <v>1</v>
      </c>
    </row>
    <row r="219" spans="1:6" x14ac:dyDescent="0.15">
      <c r="A219" s="3" t="s">
        <v>80</v>
      </c>
      <c r="B219">
        <v>3</v>
      </c>
      <c r="C219">
        <v>1</v>
      </c>
      <c r="D219">
        <v>1</v>
      </c>
      <c r="E219">
        <v>4</v>
      </c>
      <c r="F219">
        <v>1</v>
      </c>
    </row>
    <row r="220" spans="1:6" x14ac:dyDescent="0.15">
      <c r="A220" s="3" t="s">
        <v>81</v>
      </c>
      <c r="B220">
        <v>1</v>
      </c>
      <c r="C220">
        <v>1</v>
      </c>
      <c r="D220">
        <v>1</v>
      </c>
      <c r="E220">
        <v>1</v>
      </c>
      <c r="F220">
        <v>6</v>
      </c>
    </row>
    <row r="221" spans="1:6" x14ac:dyDescent="0.15">
      <c r="A221" s="3" t="s">
        <v>85</v>
      </c>
      <c r="B221">
        <v>3</v>
      </c>
      <c r="C221">
        <v>1</v>
      </c>
      <c r="D221">
        <v>1</v>
      </c>
      <c r="E221">
        <v>1</v>
      </c>
      <c r="F221">
        <v>4</v>
      </c>
    </row>
    <row r="222" spans="1:6" x14ac:dyDescent="0.15">
      <c r="A222" s="3" t="s">
        <v>82</v>
      </c>
      <c r="B222">
        <v>4</v>
      </c>
      <c r="C222">
        <v>1</v>
      </c>
      <c r="D222">
        <v>1</v>
      </c>
      <c r="E222">
        <v>1</v>
      </c>
      <c r="F222">
        <v>3</v>
      </c>
    </row>
    <row r="223" spans="1:6" x14ac:dyDescent="0.15">
      <c r="A223" s="3" t="s">
        <v>84</v>
      </c>
      <c r="B223">
        <v>1</v>
      </c>
      <c r="C223">
        <v>1</v>
      </c>
      <c r="D223">
        <v>1</v>
      </c>
      <c r="E223">
        <v>3</v>
      </c>
      <c r="F223">
        <v>4</v>
      </c>
    </row>
    <row r="224" spans="1:6" x14ac:dyDescent="0.15">
      <c r="A224" s="3" t="s">
        <v>83</v>
      </c>
      <c r="B224">
        <v>1</v>
      </c>
      <c r="C224">
        <v>1</v>
      </c>
      <c r="D224">
        <v>1</v>
      </c>
      <c r="E224">
        <v>4</v>
      </c>
      <c r="F224">
        <v>3</v>
      </c>
    </row>
    <row r="225" spans="1:8" x14ac:dyDescent="0.15">
      <c r="A225" s="3" t="s">
        <v>92</v>
      </c>
      <c r="B225" t="s">
        <v>108</v>
      </c>
      <c r="C225" t="s">
        <v>109</v>
      </c>
      <c r="D225" t="s">
        <v>110</v>
      </c>
      <c r="E225" t="s">
        <v>56</v>
      </c>
      <c r="F225" t="s">
        <v>111</v>
      </c>
      <c r="G225" t="s">
        <v>112</v>
      </c>
      <c r="H225" t="s">
        <v>113</v>
      </c>
    </row>
    <row r="226" spans="1:8" x14ac:dyDescent="0.15">
      <c r="A226" t="s">
        <v>93</v>
      </c>
      <c r="B226">
        <v>2.5</v>
      </c>
      <c r="C226">
        <v>2.5</v>
      </c>
      <c r="D226">
        <v>2.5</v>
      </c>
      <c r="E226">
        <v>2.5</v>
      </c>
      <c r="F226">
        <v>0</v>
      </c>
      <c r="G226">
        <v>0</v>
      </c>
      <c r="H226">
        <v>0</v>
      </c>
    </row>
    <row r="227" spans="1:8" x14ac:dyDescent="0.15">
      <c r="A227" t="s">
        <v>94</v>
      </c>
      <c r="B227">
        <v>2.5</v>
      </c>
      <c r="C227">
        <v>2.5</v>
      </c>
      <c r="D227">
        <v>2.5</v>
      </c>
      <c r="E227">
        <v>0</v>
      </c>
      <c r="F227">
        <v>0</v>
      </c>
      <c r="G227">
        <v>0</v>
      </c>
      <c r="H227">
        <v>0</v>
      </c>
    </row>
    <row r="228" spans="1:8" x14ac:dyDescent="0.15">
      <c r="A228" t="s">
        <v>95</v>
      </c>
      <c r="B228">
        <v>2.5</v>
      </c>
      <c r="C228">
        <v>2.5</v>
      </c>
      <c r="D228">
        <v>2.5</v>
      </c>
      <c r="E228">
        <v>0</v>
      </c>
      <c r="F228">
        <v>0</v>
      </c>
      <c r="G228">
        <v>0</v>
      </c>
      <c r="H228">
        <v>0</v>
      </c>
    </row>
    <row r="229" spans="1:8" x14ac:dyDescent="0.15">
      <c r="A229" t="s">
        <v>96</v>
      </c>
      <c r="B229">
        <v>2.5</v>
      </c>
      <c r="C229">
        <v>2.5</v>
      </c>
      <c r="D229">
        <v>2.5</v>
      </c>
      <c r="E229">
        <v>0</v>
      </c>
      <c r="F229">
        <v>1</v>
      </c>
      <c r="G229">
        <v>0</v>
      </c>
      <c r="H229">
        <v>0</v>
      </c>
    </row>
    <row r="230" spans="1:8" x14ac:dyDescent="0.15">
      <c r="A230" t="s">
        <v>97</v>
      </c>
      <c r="B230">
        <v>2.5</v>
      </c>
      <c r="C230">
        <v>2.5</v>
      </c>
      <c r="D230">
        <v>2.5</v>
      </c>
      <c r="E230">
        <v>0</v>
      </c>
      <c r="F230">
        <v>0</v>
      </c>
      <c r="G230">
        <v>0</v>
      </c>
      <c r="H230">
        <v>3</v>
      </c>
    </row>
    <row r="231" spans="1:8" x14ac:dyDescent="0.15">
      <c r="A231" t="s">
        <v>98</v>
      </c>
      <c r="B231">
        <v>2.5</v>
      </c>
      <c r="C231">
        <v>2.5</v>
      </c>
      <c r="D231">
        <v>2.5</v>
      </c>
      <c r="E231">
        <v>2.5</v>
      </c>
      <c r="F231">
        <v>0</v>
      </c>
      <c r="G231">
        <v>0</v>
      </c>
      <c r="H231">
        <v>0</v>
      </c>
    </row>
    <row r="232" spans="1:8" x14ac:dyDescent="0.15">
      <c r="A232" t="s">
        <v>99</v>
      </c>
      <c r="B232">
        <v>2.5</v>
      </c>
      <c r="C232">
        <v>2.5</v>
      </c>
      <c r="D232">
        <v>2.5</v>
      </c>
      <c r="E232">
        <v>0</v>
      </c>
      <c r="F232">
        <v>1</v>
      </c>
      <c r="G232">
        <v>0</v>
      </c>
      <c r="H232">
        <v>0</v>
      </c>
    </row>
    <row r="233" spans="1:8" x14ac:dyDescent="0.15">
      <c r="A233" t="s">
        <v>100</v>
      </c>
      <c r="B233">
        <v>2.5</v>
      </c>
      <c r="C233">
        <v>2.5</v>
      </c>
      <c r="D233">
        <v>2.5</v>
      </c>
      <c r="E233">
        <v>0</v>
      </c>
      <c r="F233">
        <v>0</v>
      </c>
      <c r="G233">
        <v>0</v>
      </c>
      <c r="H233">
        <v>0</v>
      </c>
    </row>
    <row r="234" spans="1:8" x14ac:dyDescent="0.15">
      <c r="A234" t="s">
        <v>101</v>
      </c>
      <c r="B234">
        <v>2.5</v>
      </c>
      <c r="C234">
        <v>2.5</v>
      </c>
      <c r="D234">
        <v>2.5</v>
      </c>
      <c r="E234">
        <v>0</v>
      </c>
      <c r="F234">
        <v>1</v>
      </c>
      <c r="G234">
        <v>3</v>
      </c>
      <c r="H234">
        <v>0</v>
      </c>
    </row>
    <row r="235" spans="1:8" x14ac:dyDescent="0.15">
      <c r="A235" t="s">
        <v>102</v>
      </c>
      <c r="B235">
        <v>2.5</v>
      </c>
      <c r="C235">
        <v>2.5</v>
      </c>
      <c r="D235">
        <v>2.5</v>
      </c>
      <c r="E235">
        <v>0</v>
      </c>
      <c r="F235">
        <v>1</v>
      </c>
      <c r="G235">
        <v>0</v>
      </c>
      <c r="H235">
        <v>0</v>
      </c>
    </row>
    <row r="236" spans="1:8" x14ac:dyDescent="0.15">
      <c r="A236" t="s">
        <v>103</v>
      </c>
      <c r="B236">
        <v>2.5</v>
      </c>
      <c r="C236">
        <v>2.5</v>
      </c>
      <c r="D236">
        <v>2.5</v>
      </c>
      <c r="E236">
        <v>0</v>
      </c>
      <c r="F236">
        <v>0</v>
      </c>
      <c r="G236">
        <v>0</v>
      </c>
      <c r="H236">
        <v>0</v>
      </c>
    </row>
    <row r="237" spans="1:8" x14ac:dyDescent="0.15">
      <c r="A237" t="s">
        <v>104</v>
      </c>
      <c r="B237">
        <v>2.5</v>
      </c>
      <c r="C237">
        <v>2.5</v>
      </c>
      <c r="D237">
        <v>2.5</v>
      </c>
      <c r="E237">
        <v>0</v>
      </c>
      <c r="F237">
        <v>0</v>
      </c>
      <c r="G237">
        <v>0</v>
      </c>
      <c r="H237">
        <v>0</v>
      </c>
    </row>
    <row r="238" spans="1:8" x14ac:dyDescent="0.15">
      <c r="A238" t="s">
        <v>105</v>
      </c>
      <c r="B238">
        <v>2.5</v>
      </c>
      <c r="C238">
        <v>2.5</v>
      </c>
      <c r="D238">
        <v>2.5</v>
      </c>
      <c r="E238">
        <v>2.5</v>
      </c>
      <c r="F238">
        <v>0</v>
      </c>
      <c r="G238">
        <v>0</v>
      </c>
      <c r="H238">
        <v>0</v>
      </c>
    </row>
    <row r="239" spans="1:8" x14ac:dyDescent="0.15">
      <c r="A239" t="s">
        <v>106</v>
      </c>
      <c r="B239">
        <v>2.5</v>
      </c>
      <c r="C239">
        <v>2.5</v>
      </c>
      <c r="D239">
        <v>2.5</v>
      </c>
      <c r="E239">
        <v>0</v>
      </c>
      <c r="F239">
        <v>0</v>
      </c>
      <c r="G239">
        <v>0</v>
      </c>
      <c r="H239">
        <v>3</v>
      </c>
    </row>
    <row r="240" spans="1:8" x14ac:dyDescent="0.15">
      <c r="A240" t="s">
        <v>107</v>
      </c>
      <c r="B240">
        <v>2.5</v>
      </c>
      <c r="C240">
        <v>2.5</v>
      </c>
      <c r="D240">
        <v>2.5</v>
      </c>
      <c r="E240">
        <v>0</v>
      </c>
      <c r="F240">
        <v>0</v>
      </c>
      <c r="G240">
        <v>0</v>
      </c>
      <c r="H24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2022-10-27T08:49:07Z</dcterms:modified>
</cp:coreProperties>
</file>